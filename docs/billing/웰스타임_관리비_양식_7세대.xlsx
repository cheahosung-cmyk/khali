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계산" sheetId="1" state="visible" r:id="rId1"/>
    <sheet name="원유로" sheetId="2" state="visible" r:id="rId2"/>
    <sheet name="와플칸" sheetId="3" state="visible" r:id="rId3"/>
    <sheet name="에바돈카츠" sheetId="4" state="visible" r:id="rId4"/>
    <sheet name="드림스터디" sheetId="5" state="visible" r:id="rId5"/>
    <sheet name="아기고래" sheetId="6" state="visible" r:id="rId6"/>
    <sheet name="카카오3F" sheetId="7" state="visible" r:id="rId7"/>
    <sheet name="영종스크린4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C00000"/>
      <sz val="10"/>
    </font>
    <font>
      <b val="1"/>
    </font>
    <font>
      <sz val="10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1" pivotButton="0" quotePrefix="0" xfId="0"/>
    <xf numFmtId="3" fontId="0" fillId="2" borderId="1" pivotButton="0" quotePrefix="0" xfId="0"/>
    <xf numFmtId="10" fontId="0" fillId="2" borderId="1" pivotButton="0" quotePrefix="0" xfId="0"/>
    <xf numFmtId="3" fontId="0" fillId="3" borderId="1" pivotButton="0" quotePrefix="0" xfId="0"/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10" fontId="0" fillId="3" borderId="1" pivotButton="0" quotePrefix="0" xfId="0"/>
    <xf numFmtId="3" fontId="3" fillId="0" borderId="1" pivotButton="0" quotePrefix="0" xfId="0"/>
    <xf numFmtId="10" fontId="3" fillId="0" borderId="1" pivotButton="0" quotePrefix="0" xfId="0"/>
    <xf numFmtId="0" fontId="3" fillId="0" borderId="1" pivotButton="0" quotePrefix="0" xfId="0"/>
    <xf numFmtId="3" fontId="0" fillId="0" borderId="1" applyAlignment="1" pivotButton="0" quotePrefix="0" xfId="0">
      <alignment horizontal="right"/>
    </xf>
    <xf numFmtId="0" fontId="3" fillId="3" borderId="1" pivotButton="0" quotePrefix="0" xfId="0"/>
    <xf numFmtId="3" fontId="3" fillId="3" borderId="1" applyAlignment="1" pivotButton="0" quotePrefix="0" xfId="0">
      <alignment horizontal="right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12" customWidth="1" min="4" max="4"/>
    <col width="12" customWidth="1" min="5" max="5"/>
    <col width="11" customWidth="1" min="6" max="6"/>
    <col width="11" customWidth="1" min="7" max="7"/>
    <col width="11" customWidth="1" min="8" max="8"/>
    <col width="10" customWidth="1" min="9" max="9"/>
    <col width="9" customWidth="1" min="10" max="10"/>
    <col width="12" customWidth="1" min="11" max="11"/>
    <col width="10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웰스타임 관리비 계산</t>
        </is>
      </c>
    </row>
    <row r="2">
      <c r="A2" s="2" t="inlineStr">
        <is>
          <t>노란칸 = 매달 직접 입력 / 파란칸 = 자동 계산</t>
        </is>
      </c>
    </row>
    <row r="4">
      <c r="A4" s="3" t="inlineStr">
        <is>
          <t>청구 연월</t>
        </is>
      </c>
      <c r="B4" s="4" t="n">
        <v>2026</v>
      </c>
      <c r="C4" t="inlineStr">
        <is>
          <t>년</t>
        </is>
      </c>
      <c r="D4" s="4" t="n">
        <v>7</v>
      </c>
      <c r="E4" t="inlineStr">
        <is>
          <t>월</t>
        </is>
      </c>
    </row>
    <row r="6">
      <c r="A6" s="3" t="inlineStr">
        <is>
          <t>[수도]</t>
        </is>
      </c>
      <c r="D6" s="3" t="inlineStr">
        <is>
          <t>[전기]</t>
        </is>
      </c>
      <c r="G6" s="3" t="inlineStr">
        <is>
          <t>[단가/율]</t>
        </is>
      </c>
    </row>
    <row r="7">
      <c r="A7" s="3" t="inlineStr">
        <is>
          <t>전체사용량(t)</t>
        </is>
      </c>
      <c r="B7" s="4" t="n">
        <v>244</v>
      </c>
      <c r="D7" s="3" t="inlineStr">
        <is>
          <t>기본요금(원)</t>
        </is>
      </c>
      <c r="E7" s="5" t="n">
        <v>203280</v>
      </c>
      <c r="G7" s="3" t="inlineStr">
        <is>
          <t>평당 관리비</t>
        </is>
      </c>
      <c r="H7" s="5" t="n">
        <v>4000</v>
      </c>
    </row>
    <row r="8">
      <c r="A8" s="3" t="inlineStr">
        <is>
          <t>납기요금(원)</t>
        </is>
      </c>
      <c r="B8" s="5" t="n">
        <v>760500</v>
      </c>
      <c r="D8" s="3" t="inlineStr">
        <is>
          <t>전기요금(원)</t>
        </is>
      </c>
      <c r="E8" s="5" t="n">
        <v>439160</v>
      </c>
      <c r="G8" s="3" t="inlineStr">
        <is>
          <t>청소비품(세대당)</t>
        </is>
      </c>
      <c r="H8" s="5" t="n">
        <v>4400</v>
      </c>
    </row>
    <row r="9">
      <c r="A9" s="3" t="inlineStr">
        <is>
          <t>사용기간</t>
        </is>
      </c>
      <c r="B9" s="4" t="inlineStr">
        <is>
          <t>05.22 - 06.21</t>
        </is>
      </c>
      <c r="D9" s="3" t="inlineStr">
        <is>
          <t>전력기금(원)</t>
        </is>
      </c>
      <c r="E9" s="5" t="n">
        <v>15760</v>
      </c>
      <c r="G9" s="3" t="inlineStr">
        <is>
          <t>연체료율</t>
        </is>
      </c>
      <c r="H9" s="6" t="n">
        <v>0.015</v>
      </c>
    </row>
    <row r="10">
      <c r="A10" s="3" t="inlineStr">
        <is>
          <t>단위요금(자동)</t>
        </is>
      </c>
      <c r="B10" s="7">
        <f>IF(B7=0,0,B8/B7)</f>
        <v/>
      </c>
      <c r="D10" s="3" t="inlineStr">
        <is>
          <t>당월요금(자동)</t>
        </is>
      </c>
      <c r="E10" s="7">
        <f>E7+E8+E9</f>
        <v/>
      </c>
    </row>
    <row r="11">
      <c r="A11" s="3" t="inlineStr">
        <is>
          <t>공용수도금액(자동)</t>
        </is>
      </c>
      <c r="B11" s="7">
        <f>B8-SUM(E22:E28)</f>
        <v/>
      </c>
      <c r="D11" s="3" t="inlineStr">
        <is>
          <t>사용기간</t>
        </is>
      </c>
      <c r="E11" s="4" t="inlineStr">
        <is>
          <t>05.04 - 06.03</t>
        </is>
      </c>
    </row>
    <row r="20">
      <c r="A20" s="8" t="inlineStr">
        <is>
          <t>세대명</t>
        </is>
      </c>
      <c r="B20" s="8" t="inlineStr">
        <is>
          <t>분양평수</t>
        </is>
      </c>
      <c r="C20" s="8" t="inlineStr">
        <is>
          <t>공용지분율</t>
        </is>
      </c>
      <c r="D20" s="8" t="inlineStr">
        <is>
          <t>수도사용량(t)</t>
        </is>
      </c>
      <c r="E20" s="8" t="inlineStr">
        <is>
          <t>세대상수도료</t>
        </is>
      </c>
      <c r="F20" s="8" t="inlineStr">
        <is>
          <t>공동수도료</t>
        </is>
      </c>
      <c r="G20" s="8" t="inlineStr">
        <is>
          <t>전기료</t>
        </is>
      </c>
      <c r="H20" s="8" t="inlineStr">
        <is>
          <t>일반관리비</t>
        </is>
      </c>
      <c r="I20" s="8" t="inlineStr">
        <is>
          <t>부가세</t>
        </is>
      </c>
      <c r="J20" s="8" t="inlineStr">
        <is>
          <t>청소비품</t>
        </is>
      </c>
      <c r="K20" s="8" t="inlineStr">
        <is>
          <t>당월부과액</t>
        </is>
      </c>
      <c r="L20" s="8" t="inlineStr">
        <is>
          <t>미납액</t>
        </is>
      </c>
      <c r="M20" s="8" t="inlineStr">
        <is>
          <t>미납연체료</t>
        </is>
      </c>
      <c r="N20" s="8" t="inlineStr">
        <is>
          <t>납기내금액</t>
        </is>
      </c>
      <c r="O20" s="8" t="inlineStr">
        <is>
          <t>납기후금액</t>
        </is>
      </c>
    </row>
    <row r="22">
      <c r="A22" s="9" t="inlineStr">
        <is>
          <t>원유로</t>
        </is>
      </c>
      <c r="B22" s="4" t="n">
        <v>44</v>
      </c>
      <c r="C22" s="10">
        <f>IF($B$29=0,0,B22/$B$29)</f>
        <v/>
      </c>
      <c r="D22" s="4" t="n">
        <v>7</v>
      </c>
      <c r="E22" s="7">
        <f>$B$10*D22</f>
        <v/>
      </c>
      <c r="F22" s="7">
        <f>$B$11*C22</f>
        <v/>
      </c>
      <c r="G22" s="7">
        <f>$E$10*C22</f>
        <v/>
      </c>
      <c r="H22" s="7">
        <f>B22*$H$7</f>
        <v/>
      </c>
      <c r="I22" s="7">
        <f>H22*10%</f>
        <v/>
      </c>
      <c r="J22" s="7">
        <f>$H$8</f>
        <v/>
      </c>
      <c r="K22" s="7">
        <f>E22+F22+G22+H22+I22+J22</f>
        <v/>
      </c>
      <c r="L22" s="5" t="n">
        <v>0</v>
      </c>
      <c r="M22" s="7">
        <f>L22*$H$9</f>
        <v/>
      </c>
      <c r="N22" s="7">
        <f>K22+L22+M22</f>
        <v/>
      </c>
      <c r="O22" s="7">
        <f>N22*(1+$H$9)</f>
        <v/>
      </c>
    </row>
    <row r="23">
      <c r="A23" s="9" t="inlineStr">
        <is>
          <t>와플칸</t>
        </is>
      </c>
      <c r="B23" s="4" t="n">
        <v>10</v>
      </c>
      <c r="C23" s="10">
        <f>IF($B$29=0,0,B23/$B$29)</f>
        <v/>
      </c>
      <c r="D23" s="4" t="n">
        <v>9</v>
      </c>
      <c r="E23" s="7">
        <f>$B$10*D23</f>
        <v/>
      </c>
      <c r="F23" s="7">
        <f>$B$11*C23</f>
        <v/>
      </c>
      <c r="G23" s="7">
        <f>$E$10*C23</f>
        <v/>
      </c>
      <c r="H23" s="7">
        <f>B23*$H$7</f>
        <v/>
      </c>
      <c r="I23" s="7">
        <f>H23*10%</f>
        <v/>
      </c>
      <c r="J23" s="7">
        <f>$H$8</f>
        <v/>
      </c>
      <c r="K23" s="7">
        <f>E23+F23+G23+H23+I23+J23</f>
        <v/>
      </c>
      <c r="L23" s="5" t="n">
        <v>0</v>
      </c>
      <c r="M23" s="7">
        <f>L23*$H$9</f>
        <v/>
      </c>
      <c r="N23" s="7">
        <f>K23+L23+M23</f>
        <v/>
      </c>
      <c r="O23" s="7">
        <f>N23*(1+$H$9)</f>
        <v/>
      </c>
    </row>
    <row r="24">
      <c r="A24" s="9" t="inlineStr">
        <is>
          <t>에바돈카츠</t>
        </is>
      </c>
      <c r="B24" s="4" t="n">
        <v>31</v>
      </c>
      <c r="C24" s="10">
        <f>IF($B$29=0,0,B24/$B$29)</f>
        <v/>
      </c>
      <c r="D24" s="4" t="n">
        <v>38</v>
      </c>
      <c r="E24" s="7">
        <f>$B$10*D24</f>
        <v/>
      </c>
      <c r="F24" s="7">
        <f>$B$11*C24</f>
        <v/>
      </c>
      <c r="G24" s="7">
        <f>$E$10*C24</f>
        <v/>
      </c>
      <c r="H24" s="7">
        <f>B24*$H$7</f>
        <v/>
      </c>
      <c r="I24" s="7">
        <f>H24*10%</f>
        <v/>
      </c>
      <c r="J24" s="7">
        <f>$H$8</f>
        <v/>
      </c>
      <c r="K24" s="7">
        <f>E24+F24+G24+H24+I24+J24</f>
        <v/>
      </c>
      <c r="L24" s="5" t="n">
        <v>0</v>
      </c>
      <c r="M24" s="7">
        <f>L24*$H$9</f>
        <v/>
      </c>
      <c r="N24" s="7">
        <f>K24+L24+M24</f>
        <v/>
      </c>
      <c r="O24" s="7">
        <f>N24*(1+$H$9)</f>
        <v/>
      </c>
    </row>
    <row r="25">
      <c r="A25" s="9" t="inlineStr">
        <is>
          <t>드림스터디</t>
        </is>
      </c>
      <c r="B25" s="4" t="n">
        <v>207</v>
      </c>
      <c r="C25" s="10">
        <f>IF($B$29=0,0,B25/$B$29)</f>
        <v/>
      </c>
      <c r="D25" s="4" t="n">
        <v>3</v>
      </c>
      <c r="E25" s="7">
        <f>$B$10*D25</f>
        <v/>
      </c>
      <c r="F25" s="7">
        <f>$B$11*C25</f>
        <v/>
      </c>
      <c r="G25" s="7">
        <f>$E$10*C25</f>
        <v/>
      </c>
      <c r="H25" s="7">
        <f>B25*$H$7</f>
        <v/>
      </c>
      <c r="I25" s="7">
        <f>H25*10%</f>
        <v/>
      </c>
      <c r="J25" s="7">
        <f>$H$8</f>
        <v/>
      </c>
      <c r="K25" s="7">
        <f>E25+F25+G25+H25+I25+J25</f>
        <v/>
      </c>
      <c r="L25" s="5" t="n">
        <v>0</v>
      </c>
      <c r="M25" s="7">
        <f>L25*$H$9</f>
        <v/>
      </c>
      <c r="N25" s="7">
        <f>K25+L25+M25</f>
        <v/>
      </c>
      <c r="O25" s="7">
        <f>N25*(1+$H$9)</f>
        <v/>
      </c>
    </row>
    <row r="26">
      <c r="A26" s="9" t="inlineStr">
        <is>
          <t>아기고래</t>
        </is>
      </c>
      <c r="B26" s="4" t="n">
        <v>62</v>
      </c>
      <c r="C26" s="10">
        <f>IF($B$29=0,0,B26/$B$29)</f>
        <v/>
      </c>
      <c r="D26" s="4" t="n">
        <v>4</v>
      </c>
      <c r="E26" s="7">
        <f>$B$10*D26</f>
        <v/>
      </c>
      <c r="F26" s="7">
        <f>$B$11*C26</f>
        <v/>
      </c>
      <c r="G26" s="7">
        <f>$E$10*C26</f>
        <v/>
      </c>
      <c r="H26" s="7">
        <f>B26*$H$7</f>
        <v/>
      </c>
      <c r="I26" s="7">
        <f>H26*10%</f>
        <v/>
      </c>
      <c r="J26" s="7">
        <f>$H$8</f>
        <v/>
      </c>
      <c r="K26" s="7">
        <f>E26+F26+G26+H26+I26+J26</f>
        <v/>
      </c>
      <c r="L26" s="5" t="n">
        <v>0</v>
      </c>
      <c r="M26" s="7">
        <f>L26*$H$9</f>
        <v/>
      </c>
      <c r="N26" s="7">
        <f>K26+L26+M26</f>
        <v/>
      </c>
      <c r="O26" s="7">
        <f>N26*(1+$H$9)</f>
        <v/>
      </c>
    </row>
    <row r="27">
      <c r="A27" s="9" t="inlineStr">
        <is>
          <t>카카오3F</t>
        </is>
      </c>
      <c r="B27" s="4" t="n">
        <v>207</v>
      </c>
      <c r="C27" s="10">
        <f>IF($B$29=0,0,B27/$B$29)</f>
        <v/>
      </c>
      <c r="D27" s="4" t="n">
        <v>5</v>
      </c>
      <c r="E27" s="7">
        <f>$B$10*D27</f>
        <v/>
      </c>
      <c r="F27" s="7">
        <f>$B$11*C27</f>
        <v/>
      </c>
      <c r="G27" s="7">
        <f>$E$10*C27</f>
        <v/>
      </c>
      <c r="H27" s="7">
        <f>B27*$H$7</f>
        <v/>
      </c>
      <c r="I27" s="7">
        <f>H27*10%</f>
        <v/>
      </c>
      <c r="J27" s="7">
        <f>$H$8</f>
        <v/>
      </c>
      <c r="K27" s="7">
        <f>E27+F27+G27+H27+I27+J27</f>
        <v/>
      </c>
      <c r="L27" s="5" t="n">
        <v>0</v>
      </c>
      <c r="M27" s="7">
        <f>L27*$H$9</f>
        <v/>
      </c>
      <c r="N27" s="7">
        <f>K27+L27+M27</f>
        <v/>
      </c>
      <c r="O27" s="7">
        <f>N27*(1+$H$9)</f>
        <v/>
      </c>
    </row>
    <row r="28">
      <c r="A28" s="9" t="inlineStr">
        <is>
          <t>영종스크린4F</t>
        </is>
      </c>
      <c r="B28" s="4" t="n">
        <v>207</v>
      </c>
      <c r="C28" s="10">
        <f>IF($B$29=0,0,B28/$B$29)</f>
        <v/>
      </c>
      <c r="D28" s="4" t="n">
        <v>0</v>
      </c>
      <c r="E28" s="7">
        <f>$B$10*D28</f>
        <v/>
      </c>
      <c r="F28" s="7">
        <f>$B$11*C28</f>
        <v/>
      </c>
      <c r="G28" s="7">
        <f>$E$10*C28</f>
        <v/>
      </c>
      <c r="H28" s="7">
        <f>B28*$H$7</f>
        <v/>
      </c>
      <c r="I28" s="7">
        <f>H28*10%</f>
        <v/>
      </c>
      <c r="J28" s="7">
        <f>$H$8</f>
        <v/>
      </c>
      <c r="K28" s="7">
        <f>E28+F28+G28+H28+I28+J28</f>
        <v/>
      </c>
      <c r="L28" s="5" t="n">
        <v>0</v>
      </c>
      <c r="M28" s="7">
        <f>L28*$H$9</f>
        <v/>
      </c>
      <c r="N28" s="7">
        <f>K28+L28+M28</f>
        <v/>
      </c>
      <c r="O28" s="7">
        <f>N28*(1+$H$9)</f>
        <v/>
      </c>
    </row>
    <row r="29">
      <c r="A29" s="3" t="inlineStr">
        <is>
          <t>합계</t>
        </is>
      </c>
      <c r="B29" s="11">
        <f>SUM(B22:B28)</f>
        <v/>
      </c>
      <c r="C29" s="12">
        <f>SUM(C22:C28)</f>
        <v/>
      </c>
      <c r="E29" s="11">
        <f>SUM(E22:E28)</f>
        <v/>
      </c>
      <c r="F29" s="11">
        <f>SUM(F22:F28)</f>
        <v/>
      </c>
      <c r="G29" s="11">
        <f>SUM(G22:G28)</f>
        <v/>
      </c>
      <c r="H29" s="11">
        <f>SUM(H22:H28)</f>
        <v/>
      </c>
      <c r="I29" s="11">
        <f>SUM(I22:I28)</f>
        <v/>
      </c>
      <c r="J29" s="11">
        <f>SUM(J22:J28)</f>
        <v/>
      </c>
      <c r="K29" s="11">
        <f>SUM(K22:K28)</f>
        <v/>
      </c>
      <c r="L29" s="11">
        <f>SUM(L22:L28)</f>
        <v/>
      </c>
      <c r="M29" s="11">
        <f>SUM(M22:M28)</f>
        <v/>
      </c>
      <c r="N29" s="11">
        <f>SUM(N22:N28)</f>
        <v/>
      </c>
      <c r="O29" s="11">
        <f>SUM(O22:O28)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3" max="3"/>
  </cols>
  <sheetData>
    <row r="1">
      <c r="A1" s="1" t="inlineStr">
        <is>
          <t>관리비 납입 영수증 (입주자용)</t>
        </is>
      </c>
    </row>
    <row r="3">
      <c r="A3">
        <f>계산!B4</f>
        <v/>
      </c>
      <c r="B3" t="inlineStr">
        <is>
          <t>년</t>
        </is>
      </c>
      <c r="C3">
        <f>계산!D4</f>
        <v/>
      </c>
      <c r="D3" t="inlineStr">
        <is>
          <t>월</t>
        </is>
      </c>
      <c r="F3" s="3" t="inlineStr">
        <is>
          <t>원유로</t>
        </is>
      </c>
      <c r="H3" t="inlineStr">
        <is>
          <t>105</t>
        </is>
      </c>
      <c r="I3" t="inlineStr">
        <is>
          <t>호</t>
        </is>
      </c>
    </row>
    <row r="5">
      <c r="A5" s="13" t="inlineStr">
        <is>
          <t>일반관리비</t>
        </is>
      </c>
      <c r="C5" s="14">
        <f>계산!H22</f>
        <v/>
      </c>
    </row>
    <row r="6">
      <c r="A6" s="13" t="inlineStr">
        <is>
          <t>관리비 부가세</t>
        </is>
      </c>
      <c r="C6" s="14">
        <f>계산!I22</f>
        <v/>
      </c>
    </row>
    <row r="7">
      <c r="A7" s="13" t="inlineStr">
        <is>
          <t>청소비품</t>
        </is>
      </c>
      <c r="C7" s="14">
        <f>계산!J22</f>
        <v/>
      </c>
    </row>
    <row r="8">
      <c r="A8" s="13" t="inlineStr">
        <is>
          <t>세대상수도료</t>
        </is>
      </c>
      <c r="C8" s="14">
        <f>계산!E22</f>
        <v/>
      </c>
    </row>
    <row r="9">
      <c r="A9" s="13" t="inlineStr">
        <is>
          <t>공동수도료</t>
        </is>
      </c>
      <c r="C9" s="14">
        <f>계산!F22</f>
        <v/>
      </c>
    </row>
    <row r="10">
      <c r="A10" s="13" t="inlineStr">
        <is>
          <t>전기(공용)</t>
        </is>
      </c>
      <c r="C10" s="14">
        <f>계산!G22</f>
        <v/>
      </c>
    </row>
    <row r="12">
      <c r="A12" s="13" t="inlineStr">
        <is>
          <t>당월부과액 계</t>
        </is>
      </c>
      <c r="C12" s="14">
        <f>계산!K22</f>
        <v/>
      </c>
    </row>
    <row r="13">
      <c r="A13" s="13" t="inlineStr">
        <is>
          <t>미납액</t>
        </is>
      </c>
      <c r="C13" s="14">
        <f>계산!L22</f>
        <v/>
      </c>
    </row>
    <row r="14">
      <c r="A14" s="13" t="inlineStr">
        <is>
          <t>미납연체료(1.5%)</t>
        </is>
      </c>
      <c r="C14" s="14">
        <f>계산!M22</f>
        <v/>
      </c>
    </row>
    <row r="15">
      <c r="A15" s="15" t="inlineStr">
        <is>
          <t>납기내 금액</t>
        </is>
      </c>
      <c r="C15" s="16">
        <f>계산!N22</f>
        <v/>
      </c>
    </row>
    <row r="16">
      <c r="A16" s="15" t="inlineStr">
        <is>
          <t>납기후 금액</t>
        </is>
      </c>
      <c r="C16" s="16">
        <f>계산!O22</f>
        <v/>
      </c>
    </row>
    <row r="18">
      <c r="A18" s="17" t="inlineStr">
        <is>
          <t>납부기한: 매달 말일</t>
        </is>
      </c>
    </row>
    <row r="19">
      <c r="A19" s="17" t="inlineStr">
        <is>
          <t>입금계좌: 신협 137-010-094596 유성진 (웰스타임)</t>
        </is>
      </c>
    </row>
    <row r="20">
      <c r="A20" s="3" t="inlineStr">
        <is>
          <t>웰스타임 관리사무소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3" max="3"/>
  </cols>
  <sheetData>
    <row r="1">
      <c r="A1" s="1" t="inlineStr">
        <is>
          <t>관리비 납입 영수증 (입주자용)</t>
        </is>
      </c>
    </row>
    <row r="3">
      <c r="A3">
        <f>계산!B4</f>
        <v/>
      </c>
      <c r="B3" t="inlineStr">
        <is>
          <t>년</t>
        </is>
      </c>
      <c r="C3">
        <f>계산!D4</f>
        <v/>
      </c>
      <c r="D3" t="inlineStr">
        <is>
          <t>월</t>
        </is>
      </c>
      <c r="F3" s="3" t="inlineStr">
        <is>
          <t>와플칸</t>
        </is>
      </c>
    </row>
    <row r="5">
      <c r="A5" s="13" t="inlineStr">
        <is>
          <t>일반관리비</t>
        </is>
      </c>
      <c r="C5" s="14">
        <f>계산!H23</f>
        <v/>
      </c>
    </row>
    <row r="6">
      <c r="A6" s="13" t="inlineStr">
        <is>
          <t>관리비 부가세</t>
        </is>
      </c>
      <c r="C6" s="14">
        <f>계산!I23</f>
        <v/>
      </c>
    </row>
    <row r="7">
      <c r="A7" s="13" t="inlineStr">
        <is>
          <t>청소비품</t>
        </is>
      </c>
      <c r="C7" s="14">
        <f>계산!J23</f>
        <v/>
      </c>
    </row>
    <row r="8">
      <c r="A8" s="13" t="inlineStr">
        <is>
          <t>세대상수도료</t>
        </is>
      </c>
      <c r="C8" s="14">
        <f>계산!E23</f>
        <v/>
      </c>
    </row>
    <row r="9">
      <c r="A9" s="13" t="inlineStr">
        <is>
          <t>공동수도료</t>
        </is>
      </c>
      <c r="C9" s="14">
        <f>계산!F23</f>
        <v/>
      </c>
    </row>
    <row r="10">
      <c r="A10" s="13" t="inlineStr">
        <is>
          <t>전기(공용)</t>
        </is>
      </c>
      <c r="C10" s="14">
        <f>계산!G23</f>
        <v/>
      </c>
    </row>
    <row r="12">
      <c r="A12" s="13" t="inlineStr">
        <is>
          <t>당월부과액 계</t>
        </is>
      </c>
      <c r="C12" s="14">
        <f>계산!K23</f>
        <v/>
      </c>
    </row>
    <row r="13">
      <c r="A13" s="13" t="inlineStr">
        <is>
          <t>미납액</t>
        </is>
      </c>
      <c r="C13" s="14">
        <f>계산!L23</f>
        <v/>
      </c>
    </row>
    <row r="14">
      <c r="A14" s="13" t="inlineStr">
        <is>
          <t>미납연체료(1.5%)</t>
        </is>
      </c>
      <c r="C14" s="14">
        <f>계산!M23</f>
        <v/>
      </c>
    </row>
    <row r="15">
      <c r="A15" s="15" t="inlineStr">
        <is>
          <t>납기내 금액</t>
        </is>
      </c>
      <c r="C15" s="16">
        <f>계산!N23</f>
        <v/>
      </c>
    </row>
    <row r="16">
      <c r="A16" s="15" t="inlineStr">
        <is>
          <t>납기후 금액</t>
        </is>
      </c>
      <c r="C16" s="16">
        <f>계산!O23</f>
        <v/>
      </c>
    </row>
    <row r="18">
      <c r="A18" s="17" t="inlineStr">
        <is>
          <t>납부기한: 매달 말일</t>
        </is>
      </c>
    </row>
    <row r="19">
      <c r="A19" s="17" t="inlineStr">
        <is>
          <t>입금계좌: 신협 137-010-094596 유성진 (웰스타임)</t>
        </is>
      </c>
    </row>
    <row r="20">
      <c r="A20" s="3" t="inlineStr">
        <is>
          <t>웰스타임 관리사무소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3" max="3"/>
  </cols>
  <sheetData>
    <row r="1">
      <c r="A1" s="1" t="inlineStr">
        <is>
          <t>관리비 납입 영수증 (입주자용)</t>
        </is>
      </c>
    </row>
    <row r="3">
      <c r="A3">
        <f>계산!B4</f>
        <v/>
      </c>
      <c r="B3" t="inlineStr">
        <is>
          <t>년</t>
        </is>
      </c>
      <c r="C3">
        <f>계산!D4</f>
        <v/>
      </c>
      <c r="D3" t="inlineStr">
        <is>
          <t>월</t>
        </is>
      </c>
      <c r="F3" s="3" t="inlineStr">
        <is>
          <t>에바돈카츠</t>
        </is>
      </c>
    </row>
    <row r="5">
      <c r="A5" s="13" t="inlineStr">
        <is>
          <t>일반관리비</t>
        </is>
      </c>
      <c r="C5" s="14">
        <f>계산!H24</f>
        <v/>
      </c>
    </row>
    <row r="6">
      <c r="A6" s="13" t="inlineStr">
        <is>
          <t>관리비 부가세</t>
        </is>
      </c>
      <c r="C6" s="14">
        <f>계산!I24</f>
        <v/>
      </c>
    </row>
    <row r="7">
      <c r="A7" s="13" t="inlineStr">
        <is>
          <t>청소비품</t>
        </is>
      </c>
      <c r="C7" s="14">
        <f>계산!J24</f>
        <v/>
      </c>
    </row>
    <row r="8">
      <c r="A8" s="13" t="inlineStr">
        <is>
          <t>세대상수도료</t>
        </is>
      </c>
      <c r="C8" s="14">
        <f>계산!E24</f>
        <v/>
      </c>
    </row>
    <row r="9">
      <c r="A9" s="13" t="inlineStr">
        <is>
          <t>공동수도료</t>
        </is>
      </c>
      <c r="C9" s="14">
        <f>계산!F24</f>
        <v/>
      </c>
    </row>
    <row r="10">
      <c r="A10" s="13" t="inlineStr">
        <is>
          <t>전기(공용)</t>
        </is>
      </c>
      <c r="C10" s="14">
        <f>계산!G24</f>
        <v/>
      </c>
    </row>
    <row r="12">
      <c r="A12" s="13" t="inlineStr">
        <is>
          <t>당월부과액 계</t>
        </is>
      </c>
      <c r="C12" s="14">
        <f>계산!K24</f>
        <v/>
      </c>
    </row>
    <row r="13">
      <c r="A13" s="13" t="inlineStr">
        <is>
          <t>미납액</t>
        </is>
      </c>
      <c r="C13" s="14">
        <f>계산!L24</f>
        <v/>
      </c>
    </row>
    <row r="14">
      <c r="A14" s="13" t="inlineStr">
        <is>
          <t>미납연체료(1.5%)</t>
        </is>
      </c>
      <c r="C14" s="14">
        <f>계산!M24</f>
        <v/>
      </c>
    </row>
    <row r="15">
      <c r="A15" s="15" t="inlineStr">
        <is>
          <t>납기내 금액</t>
        </is>
      </c>
      <c r="C15" s="16">
        <f>계산!N24</f>
        <v/>
      </c>
    </row>
    <row r="16">
      <c r="A16" s="15" t="inlineStr">
        <is>
          <t>납기후 금액</t>
        </is>
      </c>
      <c r="C16" s="16">
        <f>계산!O24</f>
        <v/>
      </c>
    </row>
    <row r="18">
      <c r="A18" s="17" t="inlineStr">
        <is>
          <t>납부기한: 매달 말일</t>
        </is>
      </c>
    </row>
    <row r="19">
      <c r="A19" s="17" t="inlineStr">
        <is>
          <t>입금계좌: 신협 137-010-094596 유성진 (웰스타임)</t>
        </is>
      </c>
    </row>
    <row r="20">
      <c r="A20" s="3" t="inlineStr">
        <is>
          <t>웰스타임 관리사무소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3" max="3"/>
  </cols>
  <sheetData>
    <row r="1">
      <c r="A1" s="1" t="inlineStr">
        <is>
          <t>관리비 납입 영수증 (입주자용)</t>
        </is>
      </c>
    </row>
    <row r="3">
      <c r="A3">
        <f>계산!B4</f>
        <v/>
      </c>
      <c r="B3" t="inlineStr">
        <is>
          <t>년</t>
        </is>
      </c>
      <c r="C3">
        <f>계산!D4</f>
        <v/>
      </c>
      <c r="D3" t="inlineStr">
        <is>
          <t>월</t>
        </is>
      </c>
      <c r="F3" s="3" t="inlineStr">
        <is>
          <t>드림스터디</t>
        </is>
      </c>
    </row>
    <row r="5">
      <c r="A5" s="13" t="inlineStr">
        <is>
          <t>일반관리비</t>
        </is>
      </c>
      <c r="C5" s="14">
        <f>계산!H25</f>
        <v/>
      </c>
    </row>
    <row r="6">
      <c r="A6" s="13" t="inlineStr">
        <is>
          <t>관리비 부가세</t>
        </is>
      </c>
      <c r="C6" s="14">
        <f>계산!I25</f>
        <v/>
      </c>
    </row>
    <row r="7">
      <c r="A7" s="13" t="inlineStr">
        <is>
          <t>청소비품</t>
        </is>
      </c>
      <c r="C7" s="14">
        <f>계산!J25</f>
        <v/>
      </c>
    </row>
    <row r="8">
      <c r="A8" s="13" t="inlineStr">
        <is>
          <t>세대상수도료</t>
        </is>
      </c>
      <c r="C8" s="14">
        <f>계산!E25</f>
        <v/>
      </c>
    </row>
    <row r="9">
      <c r="A9" s="13" t="inlineStr">
        <is>
          <t>공동수도료</t>
        </is>
      </c>
      <c r="C9" s="14">
        <f>계산!F25</f>
        <v/>
      </c>
    </row>
    <row r="10">
      <c r="A10" s="13" t="inlineStr">
        <is>
          <t>전기(공용)</t>
        </is>
      </c>
      <c r="C10" s="14">
        <f>계산!G25</f>
        <v/>
      </c>
    </row>
    <row r="12">
      <c r="A12" s="13" t="inlineStr">
        <is>
          <t>당월부과액 계</t>
        </is>
      </c>
      <c r="C12" s="14">
        <f>계산!K25</f>
        <v/>
      </c>
    </row>
    <row r="13">
      <c r="A13" s="13" t="inlineStr">
        <is>
          <t>미납액</t>
        </is>
      </c>
      <c r="C13" s="14">
        <f>계산!L25</f>
        <v/>
      </c>
    </row>
    <row r="14">
      <c r="A14" s="13" t="inlineStr">
        <is>
          <t>미납연체료(1.5%)</t>
        </is>
      </c>
      <c r="C14" s="14">
        <f>계산!M25</f>
        <v/>
      </c>
    </row>
    <row r="15">
      <c r="A15" s="15" t="inlineStr">
        <is>
          <t>납기내 금액</t>
        </is>
      </c>
      <c r="C15" s="16">
        <f>계산!N25</f>
        <v/>
      </c>
    </row>
    <row r="16">
      <c r="A16" s="15" t="inlineStr">
        <is>
          <t>납기후 금액</t>
        </is>
      </c>
      <c r="C16" s="16">
        <f>계산!O25</f>
        <v/>
      </c>
    </row>
    <row r="18">
      <c r="A18" s="17" t="inlineStr">
        <is>
          <t>납부기한: 매달 말일</t>
        </is>
      </c>
    </row>
    <row r="19">
      <c r="A19" s="17" t="inlineStr">
        <is>
          <t>입금계좌: 신협 137-010-094596 유성진 (웰스타임)</t>
        </is>
      </c>
    </row>
    <row r="20">
      <c r="A20" s="3" t="inlineStr">
        <is>
          <t>웰스타임 관리사무소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3" max="3"/>
  </cols>
  <sheetData>
    <row r="1">
      <c r="A1" s="1" t="inlineStr">
        <is>
          <t>관리비 납입 영수증 (입주자용)</t>
        </is>
      </c>
    </row>
    <row r="3">
      <c r="A3">
        <f>계산!B4</f>
        <v/>
      </c>
      <c r="B3" t="inlineStr">
        <is>
          <t>년</t>
        </is>
      </c>
      <c r="C3">
        <f>계산!D4</f>
        <v/>
      </c>
      <c r="D3" t="inlineStr">
        <is>
          <t>월</t>
        </is>
      </c>
      <c r="F3" s="3" t="inlineStr">
        <is>
          <t>아기고래</t>
        </is>
      </c>
    </row>
    <row r="5">
      <c r="A5" s="13" t="inlineStr">
        <is>
          <t>일반관리비</t>
        </is>
      </c>
      <c r="C5" s="14">
        <f>계산!H26</f>
        <v/>
      </c>
    </row>
    <row r="6">
      <c r="A6" s="13" t="inlineStr">
        <is>
          <t>관리비 부가세</t>
        </is>
      </c>
      <c r="C6" s="14">
        <f>계산!I26</f>
        <v/>
      </c>
    </row>
    <row r="7">
      <c r="A7" s="13" t="inlineStr">
        <is>
          <t>청소비품</t>
        </is>
      </c>
      <c r="C7" s="14">
        <f>계산!J26</f>
        <v/>
      </c>
    </row>
    <row r="8">
      <c r="A8" s="13" t="inlineStr">
        <is>
          <t>세대상수도료</t>
        </is>
      </c>
      <c r="C8" s="14">
        <f>계산!E26</f>
        <v/>
      </c>
    </row>
    <row r="9">
      <c r="A9" s="13" t="inlineStr">
        <is>
          <t>공동수도료</t>
        </is>
      </c>
      <c r="C9" s="14">
        <f>계산!F26</f>
        <v/>
      </c>
    </row>
    <row r="10">
      <c r="A10" s="13" t="inlineStr">
        <is>
          <t>전기(공용)</t>
        </is>
      </c>
      <c r="C10" s="14">
        <f>계산!G26</f>
        <v/>
      </c>
    </row>
    <row r="12">
      <c r="A12" s="13" t="inlineStr">
        <is>
          <t>당월부과액 계</t>
        </is>
      </c>
      <c r="C12" s="14">
        <f>계산!K26</f>
        <v/>
      </c>
    </row>
    <row r="13">
      <c r="A13" s="13" t="inlineStr">
        <is>
          <t>미납액</t>
        </is>
      </c>
      <c r="C13" s="14">
        <f>계산!L26</f>
        <v/>
      </c>
    </row>
    <row r="14">
      <c r="A14" s="13" t="inlineStr">
        <is>
          <t>미납연체료(1.5%)</t>
        </is>
      </c>
      <c r="C14" s="14">
        <f>계산!M26</f>
        <v/>
      </c>
    </row>
    <row r="15">
      <c r="A15" s="15" t="inlineStr">
        <is>
          <t>납기내 금액</t>
        </is>
      </c>
      <c r="C15" s="16">
        <f>계산!N26</f>
        <v/>
      </c>
    </row>
    <row r="16">
      <c r="A16" s="15" t="inlineStr">
        <is>
          <t>납기후 금액</t>
        </is>
      </c>
      <c r="C16" s="16">
        <f>계산!O26</f>
        <v/>
      </c>
    </row>
    <row r="18">
      <c r="A18" s="17" t="inlineStr">
        <is>
          <t>납부기한: 매달 말일</t>
        </is>
      </c>
    </row>
    <row r="19">
      <c r="A19" s="17" t="inlineStr">
        <is>
          <t>입금계좌: 신협 137-010-094596 유성진 (웰스타임)</t>
        </is>
      </c>
    </row>
    <row r="20">
      <c r="A20" s="3" t="inlineStr">
        <is>
          <t>웰스타임 관리사무소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3" max="3"/>
  </cols>
  <sheetData>
    <row r="1">
      <c r="A1" s="1" t="inlineStr">
        <is>
          <t>관리비 납입 영수증 (입주자용)</t>
        </is>
      </c>
    </row>
    <row r="3">
      <c r="A3">
        <f>계산!B4</f>
        <v/>
      </c>
      <c r="B3" t="inlineStr">
        <is>
          <t>년</t>
        </is>
      </c>
      <c r="C3">
        <f>계산!D4</f>
        <v/>
      </c>
      <c r="D3" t="inlineStr">
        <is>
          <t>월</t>
        </is>
      </c>
      <c r="F3" s="3" t="inlineStr">
        <is>
          <t>카카오3F</t>
        </is>
      </c>
    </row>
    <row r="5">
      <c r="A5" s="13" t="inlineStr">
        <is>
          <t>일반관리비</t>
        </is>
      </c>
      <c r="C5" s="14">
        <f>계산!H27</f>
        <v/>
      </c>
    </row>
    <row r="6">
      <c r="A6" s="13" t="inlineStr">
        <is>
          <t>관리비 부가세</t>
        </is>
      </c>
      <c r="C6" s="14">
        <f>계산!I27</f>
        <v/>
      </c>
    </row>
    <row r="7">
      <c r="A7" s="13" t="inlineStr">
        <is>
          <t>청소비품</t>
        </is>
      </c>
      <c r="C7" s="14">
        <f>계산!J27</f>
        <v/>
      </c>
    </row>
    <row r="8">
      <c r="A8" s="13" t="inlineStr">
        <is>
          <t>세대상수도료</t>
        </is>
      </c>
      <c r="C8" s="14">
        <f>계산!E27</f>
        <v/>
      </c>
    </row>
    <row r="9">
      <c r="A9" s="13" t="inlineStr">
        <is>
          <t>공동수도료</t>
        </is>
      </c>
      <c r="C9" s="14">
        <f>계산!F27</f>
        <v/>
      </c>
    </row>
    <row r="10">
      <c r="A10" s="13" t="inlineStr">
        <is>
          <t>전기(공용)</t>
        </is>
      </c>
      <c r="C10" s="14">
        <f>계산!G27</f>
        <v/>
      </c>
    </row>
    <row r="12">
      <c r="A12" s="13" t="inlineStr">
        <is>
          <t>당월부과액 계</t>
        </is>
      </c>
      <c r="C12" s="14">
        <f>계산!K27</f>
        <v/>
      </c>
    </row>
    <row r="13">
      <c r="A13" s="13" t="inlineStr">
        <is>
          <t>미납액</t>
        </is>
      </c>
      <c r="C13" s="14">
        <f>계산!L27</f>
        <v/>
      </c>
    </row>
    <row r="14">
      <c r="A14" s="13" t="inlineStr">
        <is>
          <t>미납연체료(1.5%)</t>
        </is>
      </c>
      <c r="C14" s="14">
        <f>계산!M27</f>
        <v/>
      </c>
    </row>
    <row r="15">
      <c r="A15" s="15" t="inlineStr">
        <is>
          <t>납기내 금액</t>
        </is>
      </c>
      <c r="C15" s="16">
        <f>계산!N27</f>
        <v/>
      </c>
    </row>
    <row r="16">
      <c r="A16" s="15" t="inlineStr">
        <is>
          <t>납기후 금액</t>
        </is>
      </c>
      <c r="C16" s="16">
        <f>계산!O27</f>
        <v/>
      </c>
    </row>
    <row r="18">
      <c r="A18" s="17" t="inlineStr">
        <is>
          <t>납부기한: 매달 말일</t>
        </is>
      </c>
    </row>
    <row r="19">
      <c r="A19" s="17" t="inlineStr">
        <is>
          <t>입금계좌: 신협 137-010-094596 유성진 (웰스타임)</t>
        </is>
      </c>
    </row>
    <row r="20">
      <c r="A20" s="3" t="inlineStr">
        <is>
          <t>웰스타임 관리사무소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3" max="3"/>
  </cols>
  <sheetData>
    <row r="1">
      <c r="A1" s="1" t="inlineStr">
        <is>
          <t>관리비 납입 영수증 (입주자용)</t>
        </is>
      </c>
    </row>
    <row r="3">
      <c r="A3">
        <f>계산!B4</f>
        <v/>
      </c>
      <c r="B3" t="inlineStr">
        <is>
          <t>년</t>
        </is>
      </c>
      <c r="C3">
        <f>계산!D4</f>
        <v/>
      </c>
      <c r="D3" t="inlineStr">
        <is>
          <t>월</t>
        </is>
      </c>
      <c r="F3" s="3" t="inlineStr">
        <is>
          <t>영종스크린4F</t>
        </is>
      </c>
    </row>
    <row r="5">
      <c r="A5" s="13" t="inlineStr">
        <is>
          <t>일반관리비</t>
        </is>
      </c>
      <c r="C5" s="14">
        <f>계산!H28</f>
        <v/>
      </c>
    </row>
    <row r="6">
      <c r="A6" s="13" t="inlineStr">
        <is>
          <t>관리비 부가세</t>
        </is>
      </c>
      <c r="C6" s="14">
        <f>계산!I28</f>
        <v/>
      </c>
    </row>
    <row r="7">
      <c r="A7" s="13" t="inlineStr">
        <is>
          <t>청소비품</t>
        </is>
      </c>
      <c r="C7" s="14">
        <f>계산!J28</f>
        <v/>
      </c>
    </row>
    <row r="8">
      <c r="A8" s="13" t="inlineStr">
        <is>
          <t>세대상수도료</t>
        </is>
      </c>
      <c r="C8" s="14">
        <f>계산!E28</f>
        <v/>
      </c>
    </row>
    <row r="9">
      <c r="A9" s="13" t="inlineStr">
        <is>
          <t>공동수도료</t>
        </is>
      </c>
      <c r="C9" s="14">
        <f>계산!F28</f>
        <v/>
      </c>
    </row>
    <row r="10">
      <c r="A10" s="13" t="inlineStr">
        <is>
          <t>전기(공용)</t>
        </is>
      </c>
      <c r="C10" s="14">
        <f>계산!G28</f>
        <v/>
      </c>
    </row>
    <row r="12">
      <c r="A12" s="13" t="inlineStr">
        <is>
          <t>당월부과액 계</t>
        </is>
      </c>
      <c r="C12" s="14">
        <f>계산!K28</f>
        <v/>
      </c>
    </row>
    <row r="13">
      <c r="A13" s="13" t="inlineStr">
        <is>
          <t>미납액</t>
        </is>
      </c>
      <c r="C13" s="14">
        <f>계산!L28</f>
        <v/>
      </c>
    </row>
    <row r="14">
      <c r="A14" s="13" t="inlineStr">
        <is>
          <t>미납연체료(1.5%)</t>
        </is>
      </c>
      <c r="C14" s="14">
        <f>계산!M28</f>
        <v/>
      </c>
    </row>
    <row r="15">
      <c r="A15" s="15" t="inlineStr">
        <is>
          <t>납기내 금액</t>
        </is>
      </c>
      <c r="C15" s="16">
        <f>계산!N28</f>
        <v/>
      </c>
    </row>
    <row r="16">
      <c r="A16" s="15" t="inlineStr">
        <is>
          <t>납기후 금액</t>
        </is>
      </c>
      <c r="C16" s="16">
        <f>계산!O28</f>
        <v/>
      </c>
    </row>
    <row r="18">
      <c r="A18" s="17" t="inlineStr">
        <is>
          <t>납부기한: 매달 말일</t>
        </is>
      </c>
    </row>
    <row r="19">
      <c r="A19" s="17" t="inlineStr">
        <is>
          <t>입금계좌: 신협 137-010-094596 유성진 (웰스타임)</t>
        </is>
      </c>
    </row>
    <row r="20">
      <c r="A20" s="3" t="inlineStr">
        <is>
          <t>웰스타임 관리사무소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2026-07-01T06:24:20Z</dcterms:created>
  <dcterms:modified xsi:type="dcterms:W3CDTF">2026-07-01T06:24:20Z</dcterms:modified>
</cp:coreProperties>
</file>