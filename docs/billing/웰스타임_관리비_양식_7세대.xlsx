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비계산" sheetId="1" state="visible" r:id="rId1"/>
    <sheet name="원유로" sheetId="2" state="visible" r:id="rId2"/>
    <sheet name="와플칸" sheetId="3" state="visible" r:id="rId3"/>
    <sheet name="에바돈카츠" sheetId="4" state="visible" r:id="rId4"/>
    <sheet name="드림스터디" sheetId="5" state="visible" r:id="rId5"/>
    <sheet name="아기고래" sheetId="6" state="visible" r:id="rId6"/>
    <sheet name="카카오3F" sheetId="7" state="visible" r:id="rId7"/>
    <sheet name="영종스크린4F" sheetId="8" state="visible" r:id="rId8"/>
  </sheets>
  <definedNames>
    <definedName name="_xlnm.Print_Area" localSheetId="0">'관리비계산'!$A$1:$O$21</definedName>
    <definedName name="_xlnm.Print_Area" localSheetId="1">'원유로'!$A$1:$D$23</definedName>
    <definedName name="_xlnm.Print_Area" localSheetId="2">'와플칸'!$A$1:$D$23</definedName>
    <definedName name="_xlnm.Print_Area" localSheetId="3">'에바돈카츠'!$A$1:$D$23</definedName>
    <definedName name="_xlnm.Print_Area" localSheetId="4">'드림스터디'!$A$1:$D$23</definedName>
    <definedName name="_xlnm.Print_Area" localSheetId="5">'아기고래'!$A$1:$D$23</definedName>
    <definedName name="_xlnm.Print_Area" localSheetId="6">'카카오3F'!$A$1:$D$23</definedName>
    <definedName name="_xlnm.Print_Area" localSheetId="7">'영종스크린4F'!$A$1:$D$23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t&quot;"/>
    <numFmt numFmtId="165" formatCode="0&quot;일&quot;"/>
    <numFmt numFmtId="166" formatCode="0.0%"/>
    <numFmt numFmtId="167" formatCode="#,##0.0&quot;원/t&quot;"/>
    <numFmt numFmtId="168" formatCode="#,##0&quot;원&quot;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C00000"/>
      <sz val="10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  <sz val="10"/>
    </font>
    <font>
      <b val="1"/>
      <color rgb="00FFFFFF"/>
      <sz val="9"/>
    </font>
    <font>
      <b val="1"/>
    </font>
    <font>
      <b val="1"/>
      <color rgb="00FFFFFF"/>
    </font>
    <font>
      <b val="1"/>
      <color rgb="00FFFFFF"/>
      <sz val="18"/>
    </font>
    <font>
      <color rgb="00595959"/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5" fillId="0" borderId="0" pivotButton="0" quotePrefix="0" xfId="0"/>
    <xf numFmtId="164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right" vertical="center"/>
    </xf>
    <xf numFmtId="166" fontId="0" fillId="3" borderId="1" applyAlignment="1" pivotButton="0" quotePrefix="0" xfId="0">
      <alignment horizontal="right" vertical="center"/>
    </xf>
    <xf numFmtId="167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  <xf numFmtId="166" fontId="0" fillId="5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8" fillId="5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8" fontId="5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168" fontId="4" fillId="7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168" fontId="4" fillId="6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168" fontId="4" fillId="3" borderId="1" applyAlignment="1" pivotButton="0" quotePrefix="0" xfId="0">
      <alignment horizontal="right" vertical="center"/>
    </xf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O21"/>
  <sheetViews>
    <sheetView showGridLines="0"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1" customWidth="1" min="4" max="4"/>
    <col width="11" customWidth="1" min="5" max="5"/>
    <col width="11" customWidth="1" min="6" max="6"/>
    <col width="10" customWidth="1" min="7" max="7"/>
    <col width="11" customWidth="1" min="8" max="8"/>
    <col width="9" customWidth="1" min="9" max="9"/>
    <col width="8" customWidth="1" min="10" max="10"/>
    <col width="12" customWidth="1" min="11" max="11"/>
    <col width="10" customWidth="1" min="12" max="12"/>
    <col width="11" customWidth="1" min="13" max="13"/>
    <col width="12" customWidth="1" min="14" max="14"/>
    <col width="12" customWidth="1" min="15" max="15"/>
  </cols>
  <sheetData>
    <row r="1" ht="28" customHeight="1">
      <c r="A1" s="1" t="inlineStr">
        <is>
          <t>웰스타임 관리비 계산표</t>
        </is>
      </c>
    </row>
    <row r="2">
      <c r="A2" s="2" t="inlineStr">
        <is>
          <t>노란칸(  )에만 매달 숫자를 입력하세요. 파란칸은 자동으로 계산됩니다.</t>
        </is>
      </c>
      <c r="B2" s="3" t="n"/>
    </row>
    <row r="4">
      <c r="A4" s="4" t="inlineStr">
        <is>
          <t>■ 이번 달 입력값</t>
        </is>
      </c>
    </row>
    <row r="5">
      <c r="A5" s="5" t="inlineStr">
        <is>
          <t>청구 연월</t>
        </is>
      </c>
      <c r="B5" s="6" t="n">
        <v>2026</v>
      </c>
      <c r="C5" s="7" t="inlineStr">
        <is>
          <t>년</t>
        </is>
      </c>
      <c r="D5" s="6" t="n">
        <v>7</v>
      </c>
      <c r="E5" s="7" t="inlineStr">
        <is>
          <t>월</t>
        </is>
      </c>
    </row>
    <row r="6">
      <c r="A6" s="5" t="inlineStr">
        <is>
          <t>수도</t>
        </is>
      </c>
      <c r="B6" s="5" t="inlineStr">
        <is>
          <t>전체사용량(t)</t>
        </is>
      </c>
      <c r="C6" s="8" t="n">
        <v>244</v>
      </c>
      <c r="E6" s="5" t="inlineStr">
        <is>
          <t>납기요금</t>
        </is>
      </c>
      <c r="F6" s="6" t="n">
        <v>760500</v>
      </c>
      <c r="H6" s="5" t="inlineStr">
        <is>
          <t>사용기간</t>
        </is>
      </c>
      <c r="I6" s="9" t="inlineStr">
        <is>
          <t>05.22-06.21</t>
        </is>
      </c>
      <c r="K6" s="5" t="inlineStr">
        <is>
          <t>검침일</t>
        </is>
      </c>
      <c r="L6" s="10" t="n">
        <v>21</v>
      </c>
    </row>
    <row r="7">
      <c r="A7" s="5" t="inlineStr">
        <is>
          <t>전기</t>
        </is>
      </c>
      <c r="B7" s="5" t="inlineStr">
        <is>
          <t>기본요금</t>
        </is>
      </c>
      <c r="C7" s="6" t="n">
        <v>203280</v>
      </c>
      <c r="E7" s="5" t="inlineStr">
        <is>
          <t>전기(전력량)요금</t>
        </is>
      </c>
      <c r="F7" s="6" t="n">
        <v>439160</v>
      </c>
      <c r="H7" s="5" t="inlineStr">
        <is>
          <t>전력기금</t>
        </is>
      </c>
      <c r="I7" s="6" t="n">
        <v>15760</v>
      </c>
      <c r="K7" s="5" t="inlineStr">
        <is>
          <t>사용기간</t>
        </is>
      </c>
      <c r="L7" s="9" t="inlineStr">
        <is>
          <t>05.04-06.03</t>
        </is>
      </c>
    </row>
    <row r="8">
      <c r="A8" s="5" t="inlineStr">
        <is>
          <t>단가·율</t>
        </is>
      </c>
      <c r="B8" s="5" t="inlineStr">
        <is>
          <t>평당 관리비</t>
        </is>
      </c>
      <c r="C8" s="6" t="n">
        <v>4000</v>
      </c>
      <c r="E8" s="5" t="inlineStr">
        <is>
          <t>청소비품(세대당)</t>
        </is>
      </c>
      <c r="F8" s="6" t="n">
        <v>4400</v>
      </c>
      <c r="H8" s="5" t="inlineStr">
        <is>
          <t>연체료율</t>
        </is>
      </c>
      <c r="I8" s="11" t="n">
        <v>0.015</v>
      </c>
    </row>
    <row r="9">
      <c r="A9" s="4" t="inlineStr">
        <is>
          <t>■ 자동 계산 (건드리지 마세요)</t>
        </is>
      </c>
    </row>
    <row r="10">
      <c r="A10" s="5" t="inlineStr">
        <is>
          <t>수도</t>
        </is>
      </c>
      <c r="B10" s="5" t="inlineStr">
        <is>
          <t>단위요금</t>
        </is>
      </c>
      <c r="C10" s="12">
        <f>IF(C6=0,0,F6/C6)</f>
        <v/>
      </c>
      <c r="E10" s="5" t="inlineStr">
        <is>
          <t>공용수도금액</t>
        </is>
      </c>
      <c r="F10" s="13">
        <f>F6-SUM(E14:E20)</f>
        <v/>
      </c>
      <c r="H10" s="5" t="inlineStr">
        <is>
          <t>전기 당월요금</t>
        </is>
      </c>
      <c r="I10" s="13">
        <f>C7+F7+I7</f>
        <v/>
      </c>
      <c r="K10" s="5" t="inlineStr">
        <is>
          <t>지분합계</t>
        </is>
      </c>
      <c r="L10" s="14">
        <f>SUM(C14:C20)</f>
        <v/>
      </c>
    </row>
    <row r="12">
      <c r="A12" s="15" t="inlineStr">
        <is>
          <t>세대 정보</t>
        </is>
      </c>
      <c r="D12" s="15" t="inlineStr">
        <is>
          <t>수  도</t>
        </is>
      </c>
      <c r="G12" s="15" t="inlineStr">
        <is>
          <t>전기</t>
        </is>
      </c>
      <c r="H12" s="15" t="inlineStr">
        <is>
          <t>일반 관리비</t>
        </is>
      </c>
      <c r="K12" s="15" t="inlineStr">
        <is>
          <t>당월</t>
        </is>
      </c>
      <c r="L12" s="15" t="inlineStr">
        <is>
          <t>미납·연체</t>
        </is>
      </c>
      <c r="N12" s="15" t="inlineStr">
        <is>
          <t>청구 금액</t>
        </is>
      </c>
    </row>
    <row r="13" ht="30" customHeight="1">
      <c r="A13" s="16" t="inlineStr">
        <is>
          <t>세대명</t>
        </is>
      </c>
      <c r="B13" s="16" t="inlineStr">
        <is>
          <t>분양평수</t>
        </is>
      </c>
      <c r="C13" s="16" t="inlineStr">
        <is>
          <t>공용지분율</t>
        </is>
      </c>
      <c r="D13" s="16" t="inlineStr">
        <is>
          <t>수도사용량(t)</t>
        </is>
      </c>
      <c r="E13" s="16" t="inlineStr">
        <is>
          <t>세대상수도료</t>
        </is>
      </c>
      <c r="F13" s="16" t="inlineStr">
        <is>
          <t>공동수도료</t>
        </is>
      </c>
      <c r="G13" s="16" t="inlineStr">
        <is>
          <t>전기료</t>
        </is>
      </c>
      <c r="H13" s="16" t="inlineStr">
        <is>
          <t>일반관리비</t>
        </is>
      </c>
      <c r="I13" s="16" t="inlineStr">
        <is>
          <t>부가세</t>
        </is>
      </c>
      <c r="J13" s="16" t="inlineStr">
        <is>
          <t>청소비품</t>
        </is>
      </c>
      <c r="K13" s="16" t="inlineStr">
        <is>
          <t>당월부과액</t>
        </is>
      </c>
      <c r="L13" s="16" t="inlineStr">
        <is>
          <t>미납액</t>
        </is>
      </c>
      <c r="M13" s="16" t="inlineStr">
        <is>
          <t>미납연체료</t>
        </is>
      </c>
      <c r="N13" s="16" t="inlineStr">
        <is>
          <t>납기내금액</t>
        </is>
      </c>
      <c r="O13" s="16" t="inlineStr">
        <is>
          <t>납기후금액</t>
        </is>
      </c>
    </row>
    <row r="14" ht="20" customHeight="1">
      <c r="A14" s="17" t="inlineStr">
        <is>
          <t>원유로</t>
        </is>
      </c>
      <c r="B14" s="6" t="n">
        <v>44</v>
      </c>
      <c r="C14" s="14">
        <f>IF($B$21=0,0,B14/$B$21)</f>
        <v/>
      </c>
      <c r="D14" s="8" t="n">
        <v>7</v>
      </c>
      <c r="E14" s="13">
        <f>ROUND($C$10*D14,0)</f>
        <v/>
      </c>
      <c r="F14" s="13">
        <f>ROUND($F$10*C14,0)</f>
        <v/>
      </c>
      <c r="G14" s="13">
        <f>ROUND($I$10*C14,0)</f>
        <v/>
      </c>
      <c r="H14" s="13">
        <f>ROUND(B14*$C$8,0)</f>
        <v/>
      </c>
      <c r="I14" s="13">
        <f>ROUND(H14*10%,0)</f>
        <v/>
      </c>
      <c r="J14" s="13">
        <f>$F$8</f>
        <v/>
      </c>
      <c r="K14" s="13">
        <f>E14+F14+G14+H14+I14+J14</f>
        <v/>
      </c>
      <c r="L14" s="6" t="n">
        <v>0</v>
      </c>
      <c r="M14" s="13">
        <f>ROUND(L14*$I$8,0)</f>
        <v/>
      </c>
      <c r="N14" s="13">
        <f>K14+L14+M14</f>
        <v/>
      </c>
      <c r="O14" s="18">
        <f>ROUND(N14*(1+$I$8),0)</f>
        <v/>
      </c>
    </row>
    <row r="15" ht="20" customHeight="1">
      <c r="A15" s="17" t="inlineStr">
        <is>
          <t>와플칸</t>
        </is>
      </c>
      <c r="B15" s="6" t="n">
        <v>10</v>
      </c>
      <c r="C15" s="14">
        <f>IF($B$21=0,0,B15/$B$21)</f>
        <v/>
      </c>
      <c r="D15" s="8" t="n">
        <v>9</v>
      </c>
      <c r="E15" s="13">
        <f>ROUND($C$10*D15,0)</f>
        <v/>
      </c>
      <c r="F15" s="13">
        <f>ROUND($F$10*C15,0)</f>
        <v/>
      </c>
      <c r="G15" s="13">
        <f>ROUND($I$10*C15,0)</f>
        <v/>
      </c>
      <c r="H15" s="13">
        <f>ROUND(B15*$C$8,0)</f>
        <v/>
      </c>
      <c r="I15" s="13">
        <f>ROUND(H15*10%,0)</f>
        <v/>
      </c>
      <c r="J15" s="13">
        <f>$F$8</f>
        <v/>
      </c>
      <c r="K15" s="13">
        <f>E15+F15+G15+H15+I15+J15</f>
        <v/>
      </c>
      <c r="L15" s="6" t="n">
        <v>0</v>
      </c>
      <c r="M15" s="13">
        <f>ROUND(L15*$I$8,0)</f>
        <v/>
      </c>
      <c r="N15" s="13">
        <f>K15+L15+M15</f>
        <v/>
      </c>
      <c r="O15" s="18">
        <f>ROUND(N15*(1+$I$8),0)</f>
        <v/>
      </c>
    </row>
    <row r="16" ht="20" customHeight="1">
      <c r="A16" s="17" t="inlineStr">
        <is>
          <t>에바돈카츠</t>
        </is>
      </c>
      <c r="B16" s="6" t="n">
        <v>31</v>
      </c>
      <c r="C16" s="14">
        <f>IF($B$21=0,0,B16/$B$21)</f>
        <v/>
      </c>
      <c r="D16" s="8" t="n">
        <v>38</v>
      </c>
      <c r="E16" s="13">
        <f>ROUND($C$10*D16,0)</f>
        <v/>
      </c>
      <c r="F16" s="13">
        <f>ROUND($F$10*C16,0)</f>
        <v/>
      </c>
      <c r="G16" s="13">
        <f>ROUND($I$10*C16,0)</f>
        <v/>
      </c>
      <c r="H16" s="13">
        <f>ROUND(B16*$C$8,0)</f>
        <v/>
      </c>
      <c r="I16" s="13">
        <f>ROUND(H16*10%,0)</f>
        <v/>
      </c>
      <c r="J16" s="13">
        <f>$F$8</f>
        <v/>
      </c>
      <c r="K16" s="13">
        <f>E16+F16+G16+H16+I16+J16</f>
        <v/>
      </c>
      <c r="L16" s="6" t="n">
        <v>0</v>
      </c>
      <c r="M16" s="13">
        <f>ROUND(L16*$I$8,0)</f>
        <v/>
      </c>
      <c r="N16" s="13">
        <f>K16+L16+M16</f>
        <v/>
      </c>
      <c r="O16" s="18">
        <f>ROUND(N16*(1+$I$8),0)</f>
        <v/>
      </c>
    </row>
    <row r="17" ht="20" customHeight="1">
      <c r="A17" s="17" t="inlineStr">
        <is>
          <t>드림스터디</t>
        </is>
      </c>
      <c r="B17" s="6" t="n">
        <v>207</v>
      </c>
      <c r="C17" s="14">
        <f>IF($B$21=0,0,B17/$B$21)</f>
        <v/>
      </c>
      <c r="D17" s="8" t="n">
        <v>3</v>
      </c>
      <c r="E17" s="13">
        <f>ROUND($C$10*D17,0)</f>
        <v/>
      </c>
      <c r="F17" s="13">
        <f>ROUND($F$10*C17,0)</f>
        <v/>
      </c>
      <c r="G17" s="13">
        <f>ROUND($I$10*C17,0)</f>
        <v/>
      </c>
      <c r="H17" s="13">
        <f>ROUND(B17*$C$8,0)</f>
        <v/>
      </c>
      <c r="I17" s="13">
        <f>ROUND(H17*10%,0)</f>
        <v/>
      </c>
      <c r="J17" s="13">
        <f>$F$8</f>
        <v/>
      </c>
      <c r="K17" s="13">
        <f>E17+F17+G17+H17+I17+J17</f>
        <v/>
      </c>
      <c r="L17" s="6" t="n">
        <v>0</v>
      </c>
      <c r="M17" s="13">
        <f>ROUND(L17*$I$8,0)</f>
        <v/>
      </c>
      <c r="N17" s="13">
        <f>K17+L17+M17</f>
        <v/>
      </c>
      <c r="O17" s="18">
        <f>ROUND(N17*(1+$I$8),0)</f>
        <v/>
      </c>
    </row>
    <row r="18" ht="20" customHeight="1">
      <c r="A18" s="17" t="inlineStr">
        <is>
          <t>아기고래</t>
        </is>
      </c>
      <c r="B18" s="6" t="n">
        <v>62</v>
      </c>
      <c r="C18" s="14">
        <f>IF($B$21=0,0,B18/$B$21)</f>
        <v/>
      </c>
      <c r="D18" s="8" t="n">
        <v>4</v>
      </c>
      <c r="E18" s="13">
        <f>ROUND($C$10*D18,0)</f>
        <v/>
      </c>
      <c r="F18" s="13">
        <f>ROUND($F$10*C18,0)</f>
        <v/>
      </c>
      <c r="G18" s="13">
        <f>ROUND($I$10*C18,0)</f>
        <v/>
      </c>
      <c r="H18" s="13">
        <f>ROUND(B18*$C$8,0)</f>
        <v/>
      </c>
      <c r="I18" s="13">
        <f>ROUND(H18*10%,0)</f>
        <v/>
      </c>
      <c r="J18" s="13">
        <f>$F$8</f>
        <v/>
      </c>
      <c r="K18" s="13">
        <f>E18+F18+G18+H18+I18+J18</f>
        <v/>
      </c>
      <c r="L18" s="6" t="n">
        <v>0</v>
      </c>
      <c r="M18" s="13">
        <f>ROUND(L18*$I$8,0)</f>
        <v/>
      </c>
      <c r="N18" s="13">
        <f>K18+L18+M18</f>
        <v/>
      </c>
      <c r="O18" s="18">
        <f>ROUND(N18*(1+$I$8),0)</f>
        <v/>
      </c>
    </row>
    <row r="19" ht="20" customHeight="1">
      <c r="A19" s="17" t="inlineStr">
        <is>
          <t>카카오3F</t>
        </is>
      </c>
      <c r="B19" s="6" t="n">
        <v>207</v>
      </c>
      <c r="C19" s="14">
        <f>IF($B$21=0,0,B19/$B$21)</f>
        <v/>
      </c>
      <c r="D19" s="8" t="n">
        <v>5</v>
      </c>
      <c r="E19" s="13">
        <f>ROUND($C$10*D19,0)</f>
        <v/>
      </c>
      <c r="F19" s="13">
        <f>ROUND($F$10*C19,0)</f>
        <v/>
      </c>
      <c r="G19" s="13">
        <f>ROUND($I$10*C19,0)</f>
        <v/>
      </c>
      <c r="H19" s="13">
        <f>ROUND(B19*$C$8,0)</f>
        <v/>
      </c>
      <c r="I19" s="13">
        <f>ROUND(H19*10%,0)</f>
        <v/>
      </c>
      <c r="J19" s="13">
        <f>$F$8</f>
        <v/>
      </c>
      <c r="K19" s="13">
        <f>E19+F19+G19+H19+I19+J19</f>
        <v/>
      </c>
      <c r="L19" s="6" t="n">
        <v>0</v>
      </c>
      <c r="M19" s="13">
        <f>ROUND(L19*$I$8,0)</f>
        <v/>
      </c>
      <c r="N19" s="13">
        <f>K19+L19+M19</f>
        <v/>
      </c>
      <c r="O19" s="18">
        <f>ROUND(N19*(1+$I$8),0)</f>
        <v/>
      </c>
    </row>
    <row r="20" ht="20" customHeight="1">
      <c r="A20" s="17" t="inlineStr">
        <is>
          <t>영종스크린4F</t>
        </is>
      </c>
      <c r="B20" s="6" t="n">
        <v>207</v>
      </c>
      <c r="C20" s="14">
        <f>IF($B$21=0,0,B20/$B$21)</f>
        <v/>
      </c>
      <c r="D20" s="8" t="n">
        <v>0</v>
      </c>
      <c r="E20" s="13">
        <f>ROUND($C$10*D20,0)</f>
        <v/>
      </c>
      <c r="F20" s="13">
        <f>ROUND($F$10*C20,0)</f>
        <v/>
      </c>
      <c r="G20" s="13">
        <f>ROUND($I$10*C20,0)</f>
        <v/>
      </c>
      <c r="H20" s="13">
        <f>ROUND(B20*$C$8,0)</f>
        <v/>
      </c>
      <c r="I20" s="13">
        <f>ROUND(H20*10%,0)</f>
        <v/>
      </c>
      <c r="J20" s="13">
        <f>$F$8</f>
        <v/>
      </c>
      <c r="K20" s="13">
        <f>E20+F20+G20+H20+I20+J20</f>
        <v/>
      </c>
      <c r="L20" s="6" t="n">
        <v>0</v>
      </c>
      <c r="M20" s="13">
        <f>ROUND(L20*$I$8,0)</f>
        <v/>
      </c>
      <c r="N20" s="13">
        <f>K20+L20+M20</f>
        <v/>
      </c>
      <c r="O20" s="18">
        <f>ROUND(N20*(1+$I$8),0)</f>
        <v/>
      </c>
    </row>
    <row r="21">
      <c r="A21" s="19" t="inlineStr">
        <is>
          <t>합 계</t>
        </is>
      </c>
      <c r="B21" s="20">
        <f>SUM(B14:B20)</f>
        <v/>
      </c>
      <c r="C21" s="21">
        <f>SUM(C14:C20)</f>
        <v/>
      </c>
      <c r="D21" s="20">
        <f>SUM(D14:D20)</f>
        <v/>
      </c>
      <c r="E21" s="20">
        <f>SUM(E14:E20)</f>
        <v/>
      </c>
      <c r="F21" s="20">
        <f>SUM(F14:F20)</f>
        <v/>
      </c>
      <c r="G21" s="20">
        <f>SUM(G14:G20)</f>
        <v/>
      </c>
      <c r="H21" s="20">
        <f>SUM(H14:H20)</f>
        <v/>
      </c>
      <c r="I21" s="20">
        <f>SUM(I14:I20)</f>
        <v/>
      </c>
      <c r="J21" s="20">
        <f>SUM(J14:J20)</f>
        <v/>
      </c>
      <c r="K21" s="20">
        <f>SUM(K14:K20)</f>
        <v/>
      </c>
      <c r="L21" s="20">
        <f>SUM(L14:L20)</f>
        <v/>
      </c>
      <c r="M21" s="20">
        <f>SUM(M14:M20)</f>
        <v/>
      </c>
      <c r="N21" s="20">
        <f>SUM(N14:N20)</f>
        <v/>
      </c>
      <c r="O21" s="20">
        <f>SUM(O14:O20)</f>
        <v/>
      </c>
    </row>
  </sheetData>
  <mergeCells count="11">
    <mergeCell ref="L12:M12"/>
    <mergeCell ref="A2:O2"/>
    <mergeCell ref="N12:O12"/>
    <mergeCell ref="G12"/>
    <mergeCell ref="K12"/>
    <mergeCell ref="D12:F12"/>
    <mergeCell ref="A1:O1"/>
    <mergeCell ref="H12:J12"/>
    <mergeCell ref="A12:C12"/>
    <mergeCell ref="A9:O9"/>
    <mergeCell ref="A4:O4"/>
  </mergeCells>
  <conditionalFormatting sqref="L10">
    <cfRule type="expression" priority="1" dxfId="0">
      <formula>ABS(L10-1)&gt;0.001</formula>
    </cfRule>
  </conditionalFormatting>
  <conditionalFormatting sqref="C21">
    <cfRule type="expression" priority="2" dxfId="0">
      <formula>ABS(C21-1)&gt;0.001</formula>
    </cfRule>
  </conditionalFormatting>
  <dataValidations count="10">
    <dataValidation sqref="B14:B20" showDropDown="0" showInputMessage="0" showErrorMessage="1" allowBlank="1" errorTitle="입력 오류" error="0 이상의 숫자를 입력하세요." type="decimal" operator="greaterThanOrEqual">
      <formula1>0</formula1>
    </dataValidation>
    <dataValidation sqref="D14:D20" showDropDown="0" showInputMessage="0" showErrorMessage="1" allowBlank="1" errorTitle="입력 오류" error="0 이상의 숫자를 입력하세요." type="decimal" operator="greaterThanOrEqual">
      <formula1>0</formula1>
    </dataValidation>
    <dataValidation sqref="L14:L20" showDropDown="0" showInputMessage="0" showErrorMessage="1" allowBlank="1" errorTitle="입력 오류" error="0 이상의 숫자를 입력하세요." type="decimal" operator="greaterThanOrEqual">
      <formula1>0</formula1>
    </dataValidation>
    <dataValidation sqref="C6" showDropDown="0" showInputMessage="0" showErrorMessage="1" allowBlank="1" errorTitle="입력 오류" error="0 이상의 숫자를 입력하세요." type="decimal" operator="greaterThanOrEqual">
      <formula1>0</formula1>
    </dataValidation>
    <dataValidation sqref="F6" showDropDown="0" showInputMessage="0" showErrorMessage="1" allowBlank="1" errorTitle="입력 오류" error="0 이상의 숫자를 입력하세요." type="decimal" operator="greaterThanOrEqual">
      <formula1>0</formula1>
    </dataValidation>
    <dataValidation sqref="C7" showDropDown="0" showInputMessage="0" showErrorMessage="1" allowBlank="1" errorTitle="입력 오류" error="0 이상의 숫자를 입력하세요." type="decimal" operator="greaterThanOrEqual">
      <formula1>0</formula1>
    </dataValidation>
    <dataValidation sqref="F7" showDropDown="0" showInputMessage="0" showErrorMessage="1" allowBlank="1" errorTitle="입력 오류" error="0 이상의 숫자를 입력하세요." type="decimal" operator="greaterThanOrEqual">
      <formula1>0</formula1>
    </dataValidation>
    <dataValidation sqref="I7" showDropDown="0" showInputMessage="0" showErrorMessage="1" allowBlank="1" errorTitle="입력 오류" error="0 이상의 숫자를 입력하세요." type="decimal" operator="greaterThanOrEqual">
      <formula1>0</formula1>
    </dataValidation>
    <dataValidation sqref="C8" showDropDown="0" showInputMessage="0" showErrorMessage="1" allowBlank="1" errorTitle="입력 오류" error="0 이상의 숫자를 입력하세요." type="decimal" operator="greaterThanOrEqual">
      <formula1>0</formula1>
    </dataValidation>
    <dataValidation sqref="F8" showDropDown="0" showInputMessage="0" showErrorMessage="1" allowBlank="1" errorTitle="입력 오류" error="0 이상의 숫자를 입력하세요." type="decimal" operator="greaterThanOrEqual">
      <formula1>0</formula1>
    </dataValidation>
  </dataValidation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3" customWidth="1" min="4" max="4"/>
  </cols>
  <sheetData>
    <row r="1" ht="32" customHeight="1">
      <c r="A1" s="22" t="inlineStr">
        <is>
          <t>관 리 비 청 구 서</t>
        </is>
      </c>
    </row>
    <row r="2">
      <c r="A2" s="23" t="inlineStr">
        <is>
          <t>웰스타임 관리사무소</t>
        </is>
      </c>
    </row>
    <row r="4">
      <c r="B4" s="24">
        <f>관리비계산!B5&amp;"년 "&amp;관리비계산!D5&amp;"월분"</f>
        <v/>
      </c>
    </row>
    <row r="5">
      <c r="B5" s="25" t="inlineStr">
        <is>
          <t>세대명</t>
        </is>
      </c>
      <c r="C5" s="26" t="inlineStr">
        <is>
          <t>원유로 (105호)</t>
        </is>
      </c>
    </row>
    <row r="7">
      <c r="B7" s="27" t="inlineStr">
        <is>
          <t>항목</t>
        </is>
      </c>
      <c r="C7" s="27" t="inlineStr">
        <is>
          <t>금액</t>
        </is>
      </c>
    </row>
    <row r="8">
      <c r="B8" s="28" t="inlineStr">
        <is>
          <t>일반관리비</t>
        </is>
      </c>
      <c r="C8" s="29">
        <f>관리비계산!H14</f>
        <v/>
      </c>
    </row>
    <row r="9">
      <c r="B9" s="28" t="inlineStr">
        <is>
          <t>관리비 부가세</t>
        </is>
      </c>
      <c r="C9" s="29">
        <f>관리비계산!I14</f>
        <v/>
      </c>
    </row>
    <row r="10">
      <c r="B10" s="28" t="inlineStr">
        <is>
          <t>청소비품</t>
        </is>
      </c>
      <c r="C10" s="29">
        <f>관리비계산!J14</f>
        <v/>
      </c>
    </row>
    <row r="11">
      <c r="B11" s="28" t="inlineStr">
        <is>
          <t>세대 상수도료</t>
        </is>
      </c>
      <c r="C11" s="29">
        <f>관리비계산!E14</f>
        <v/>
      </c>
    </row>
    <row r="12">
      <c r="B12" s="28" t="inlineStr">
        <is>
          <t>공동 수도료</t>
        </is>
      </c>
      <c r="C12" s="29">
        <f>관리비계산!F14</f>
        <v/>
      </c>
    </row>
    <row r="13">
      <c r="B13" s="28" t="inlineStr">
        <is>
          <t>전기료(공용)</t>
        </is>
      </c>
      <c r="C13" s="29">
        <f>관리비계산!G14</f>
        <v/>
      </c>
    </row>
    <row r="14">
      <c r="B14" s="30" t="inlineStr">
        <is>
          <t>당월부과액 계</t>
        </is>
      </c>
      <c r="C14" s="31">
        <f>관리비계산!K14</f>
        <v/>
      </c>
    </row>
    <row r="15">
      <c r="B15" s="28" t="inlineStr">
        <is>
          <t>전월 미납액</t>
        </is>
      </c>
      <c r="C15" s="29">
        <f>관리비계산!L14</f>
        <v/>
      </c>
    </row>
    <row r="16">
      <c r="B16" s="28" t="inlineStr">
        <is>
          <t>미납 연체료(1.5%)</t>
        </is>
      </c>
      <c r="C16" s="29">
        <f>관리비계산!M14</f>
        <v/>
      </c>
    </row>
    <row r="17">
      <c r="B17" s="32" t="inlineStr">
        <is>
          <t>납기내 금액</t>
        </is>
      </c>
      <c r="C17" s="33">
        <f>관리비계산!N14</f>
        <v/>
      </c>
    </row>
    <row r="18">
      <c r="B18" s="34" t="inlineStr">
        <is>
          <t>납기후 금액</t>
        </is>
      </c>
      <c r="C18" s="35">
        <f>관리비계산!O14</f>
        <v/>
      </c>
    </row>
    <row r="20">
      <c r="B20" s="7" t="inlineStr">
        <is>
          <t>납부기한 : 매월 말일</t>
        </is>
      </c>
    </row>
    <row r="21">
      <c r="B21" s="7" t="inlineStr">
        <is>
          <t>입금계좌 : 신협 137-010-094596 유성진(웰스타임)</t>
        </is>
      </c>
    </row>
    <row r="22">
      <c r="B22" s="36" t="inlineStr">
        <is>
          <t>위 금액을 청구합니다.  웰스타임 관리사무소</t>
        </is>
      </c>
    </row>
  </sheetData>
  <mergeCells count="6">
    <mergeCell ref="A1:D1"/>
    <mergeCell ref="B21:C21"/>
    <mergeCell ref="B20:C20"/>
    <mergeCell ref="B22:C22"/>
    <mergeCell ref="A2:D2"/>
    <mergeCell ref="B4:C4"/>
  </mergeCells>
  <pageMargins left="0.75" right="0.75" top="1" bottom="1" header="0.5" footer="0.5"/>
  <pageSetup orientation="portrait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3" customWidth="1" min="4" max="4"/>
  </cols>
  <sheetData>
    <row r="1" ht="32" customHeight="1">
      <c r="A1" s="22" t="inlineStr">
        <is>
          <t>관 리 비 청 구 서</t>
        </is>
      </c>
    </row>
    <row r="2">
      <c r="A2" s="23" t="inlineStr">
        <is>
          <t>웰스타임 관리사무소</t>
        </is>
      </c>
    </row>
    <row r="4">
      <c r="B4" s="24">
        <f>관리비계산!B5&amp;"년 "&amp;관리비계산!D5&amp;"월분"</f>
        <v/>
      </c>
    </row>
    <row r="5">
      <c r="B5" s="25" t="inlineStr">
        <is>
          <t>세대명</t>
        </is>
      </c>
      <c r="C5" s="26" t="inlineStr">
        <is>
          <t>와플칸</t>
        </is>
      </c>
    </row>
    <row r="7">
      <c r="B7" s="27" t="inlineStr">
        <is>
          <t>항목</t>
        </is>
      </c>
      <c r="C7" s="27" t="inlineStr">
        <is>
          <t>금액</t>
        </is>
      </c>
    </row>
    <row r="8">
      <c r="B8" s="28" t="inlineStr">
        <is>
          <t>일반관리비</t>
        </is>
      </c>
      <c r="C8" s="29">
        <f>관리비계산!H15</f>
        <v/>
      </c>
    </row>
    <row r="9">
      <c r="B9" s="28" t="inlineStr">
        <is>
          <t>관리비 부가세</t>
        </is>
      </c>
      <c r="C9" s="29">
        <f>관리비계산!I15</f>
        <v/>
      </c>
    </row>
    <row r="10">
      <c r="B10" s="28" t="inlineStr">
        <is>
          <t>청소비품</t>
        </is>
      </c>
      <c r="C10" s="29">
        <f>관리비계산!J15</f>
        <v/>
      </c>
    </row>
    <row r="11">
      <c r="B11" s="28" t="inlineStr">
        <is>
          <t>세대 상수도료</t>
        </is>
      </c>
      <c r="C11" s="29">
        <f>관리비계산!E15</f>
        <v/>
      </c>
    </row>
    <row r="12">
      <c r="B12" s="28" t="inlineStr">
        <is>
          <t>공동 수도료</t>
        </is>
      </c>
      <c r="C12" s="29">
        <f>관리비계산!F15</f>
        <v/>
      </c>
    </row>
    <row r="13">
      <c r="B13" s="28" t="inlineStr">
        <is>
          <t>전기료(공용)</t>
        </is>
      </c>
      <c r="C13" s="29">
        <f>관리비계산!G15</f>
        <v/>
      </c>
    </row>
    <row r="14">
      <c r="B14" s="30" t="inlineStr">
        <is>
          <t>당월부과액 계</t>
        </is>
      </c>
      <c r="C14" s="31">
        <f>관리비계산!K15</f>
        <v/>
      </c>
    </row>
    <row r="15">
      <c r="B15" s="28" t="inlineStr">
        <is>
          <t>전월 미납액</t>
        </is>
      </c>
      <c r="C15" s="29">
        <f>관리비계산!L15</f>
        <v/>
      </c>
    </row>
    <row r="16">
      <c r="B16" s="28" t="inlineStr">
        <is>
          <t>미납 연체료(1.5%)</t>
        </is>
      </c>
      <c r="C16" s="29">
        <f>관리비계산!M15</f>
        <v/>
      </c>
    </row>
    <row r="17">
      <c r="B17" s="32" t="inlineStr">
        <is>
          <t>납기내 금액</t>
        </is>
      </c>
      <c r="C17" s="33">
        <f>관리비계산!N15</f>
        <v/>
      </c>
    </row>
    <row r="18">
      <c r="B18" s="34" t="inlineStr">
        <is>
          <t>납기후 금액</t>
        </is>
      </c>
      <c r="C18" s="35">
        <f>관리비계산!O15</f>
        <v/>
      </c>
    </row>
    <row r="20">
      <c r="B20" s="7" t="inlineStr">
        <is>
          <t>납부기한 : 매월 말일</t>
        </is>
      </c>
    </row>
    <row r="21">
      <c r="B21" s="7" t="inlineStr">
        <is>
          <t>입금계좌 : 신협 137-010-094596 유성진(웰스타임)</t>
        </is>
      </c>
    </row>
    <row r="22">
      <c r="B22" s="36" t="inlineStr">
        <is>
          <t>위 금액을 청구합니다.  웰스타임 관리사무소</t>
        </is>
      </c>
    </row>
  </sheetData>
  <mergeCells count="6">
    <mergeCell ref="A1:D1"/>
    <mergeCell ref="B21:C21"/>
    <mergeCell ref="B20:C20"/>
    <mergeCell ref="B22:C22"/>
    <mergeCell ref="A2:D2"/>
    <mergeCell ref="B4:C4"/>
  </mergeCells>
  <pageMargins left="0.75" right="0.75" top="1" bottom="1" header="0.5" footer="0.5"/>
  <pageSetup orientation="portrait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3" customWidth="1" min="4" max="4"/>
  </cols>
  <sheetData>
    <row r="1" ht="32" customHeight="1">
      <c r="A1" s="22" t="inlineStr">
        <is>
          <t>관 리 비 청 구 서</t>
        </is>
      </c>
    </row>
    <row r="2">
      <c r="A2" s="23" t="inlineStr">
        <is>
          <t>웰스타임 관리사무소</t>
        </is>
      </c>
    </row>
    <row r="4">
      <c r="B4" s="24">
        <f>관리비계산!B5&amp;"년 "&amp;관리비계산!D5&amp;"월분"</f>
        <v/>
      </c>
    </row>
    <row r="5">
      <c r="B5" s="25" t="inlineStr">
        <is>
          <t>세대명</t>
        </is>
      </c>
      <c r="C5" s="26" t="inlineStr">
        <is>
          <t>에바돈카츠</t>
        </is>
      </c>
    </row>
    <row r="7">
      <c r="B7" s="27" t="inlineStr">
        <is>
          <t>항목</t>
        </is>
      </c>
      <c r="C7" s="27" t="inlineStr">
        <is>
          <t>금액</t>
        </is>
      </c>
    </row>
    <row r="8">
      <c r="B8" s="28" t="inlineStr">
        <is>
          <t>일반관리비</t>
        </is>
      </c>
      <c r="C8" s="29">
        <f>관리비계산!H16</f>
        <v/>
      </c>
    </row>
    <row r="9">
      <c r="B9" s="28" t="inlineStr">
        <is>
          <t>관리비 부가세</t>
        </is>
      </c>
      <c r="C9" s="29">
        <f>관리비계산!I16</f>
        <v/>
      </c>
    </row>
    <row r="10">
      <c r="B10" s="28" t="inlineStr">
        <is>
          <t>청소비품</t>
        </is>
      </c>
      <c r="C10" s="29">
        <f>관리비계산!J16</f>
        <v/>
      </c>
    </row>
    <row r="11">
      <c r="B11" s="28" t="inlineStr">
        <is>
          <t>세대 상수도료</t>
        </is>
      </c>
      <c r="C11" s="29">
        <f>관리비계산!E16</f>
        <v/>
      </c>
    </row>
    <row r="12">
      <c r="B12" s="28" t="inlineStr">
        <is>
          <t>공동 수도료</t>
        </is>
      </c>
      <c r="C12" s="29">
        <f>관리비계산!F16</f>
        <v/>
      </c>
    </row>
    <row r="13">
      <c r="B13" s="28" t="inlineStr">
        <is>
          <t>전기료(공용)</t>
        </is>
      </c>
      <c r="C13" s="29">
        <f>관리비계산!G16</f>
        <v/>
      </c>
    </row>
    <row r="14">
      <c r="B14" s="30" t="inlineStr">
        <is>
          <t>당월부과액 계</t>
        </is>
      </c>
      <c r="C14" s="31">
        <f>관리비계산!K16</f>
        <v/>
      </c>
    </row>
    <row r="15">
      <c r="B15" s="28" t="inlineStr">
        <is>
          <t>전월 미납액</t>
        </is>
      </c>
      <c r="C15" s="29">
        <f>관리비계산!L16</f>
        <v/>
      </c>
    </row>
    <row r="16">
      <c r="B16" s="28" t="inlineStr">
        <is>
          <t>미납 연체료(1.5%)</t>
        </is>
      </c>
      <c r="C16" s="29">
        <f>관리비계산!M16</f>
        <v/>
      </c>
    </row>
    <row r="17">
      <c r="B17" s="32" t="inlineStr">
        <is>
          <t>납기내 금액</t>
        </is>
      </c>
      <c r="C17" s="33">
        <f>관리비계산!N16</f>
        <v/>
      </c>
    </row>
    <row r="18">
      <c r="B18" s="34" t="inlineStr">
        <is>
          <t>납기후 금액</t>
        </is>
      </c>
      <c r="C18" s="35">
        <f>관리비계산!O16</f>
        <v/>
      </c>
    </row>
    <row r="20">
      <c r="B20" s="7" t="inlineStr">
        <is>
          <t>납부기한 : 매월 말일</t>
        </is>
      </c>
    </row>
    <row r="21">
      <c r="B21" s="7" t="inlineStr">
        <is>
          <t>입금계좌 : 신협 137-010-094596 유성진(웰스타임)</t>
        </is>
      </c>
    </row>
    <row r="22">
      <c r="B22" s="36" t="inlineStr">
        <is>
          <t>위 금액을 청구합니다.  웰스타임 관리사무소</t>
        </is>
      </c>
    </row>
  </sheetData>
  <mergeCells count="6">
    <mergeCell ref="A1:D1"/>
    <mergeCell ref="B21:C21"/>
    <mergeCell ref="B20:C20"/>
    <mergeCell ref="B22:C22"/>
    <mergeCell ref="A2:D2"/>
    <mergeCell ref="B4:C4"/>
  </mergeCells>
  <pageMargins left="0.75" right="0.75" top="1" bottom="1" header="0.5" footer="0.5"/>
  <pageSetup orientation="portrait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3" customWidth="1" min="4" max="4"/>
  </cols>
  <sheetData>
    <row r="1" ht="32" customHeight="1">
      <c r="A1" s="22" t="inlineStr">
        <is>
          <t>관 리 비 청 구 서</t>
        </is>
      </c>
    </row>
    <row r="2">
      <c r="A2" s="23" t="inlineStr">
        <is>
          <t>웰스타임 관리사무소</t>
        </is>
      </c>
    </row>
    <row r="4">
      <c r="B4" s="24">
        <f>관리비계산!B5&amp;"년 "&amp;관리비계산!D5&amp;"월분"</f>
        <v/>
      </c>
    </row>
    <row r="5">
      <c r="B5" s="25" t="inlineStr">
        <is>
          <t>세대명</t>
        </is>
      </c>
      <c r="C5" s="26" t="inlineStr">
        <is>
          <t>드림스터디</t>
        </is>
      </c>
    </row>
    <row r="7">
      <c r="B7" s="27" t="inlineStr">
        <is>
          <t>항목</t>
        </is>
      </c>
      <c r="C7" s="27" t="inlineStr">
        <is>
          <t>금액</t>
        </is>
      </c>
    </row>
    <row r="8">
      <c r="B8" s="28" t="inlineStr">
        <is>
          <t>일반관리비</t>
        </is>
      </c>
      <c r="C8" s="29">
        <f>관리비계산!H17</f>
        <v/>
      </c>
    </row>
    <row r="9">
      <c r="B9" s="28" t="inlineStr">
        <is>
          <t>관리비 부가세</t>
        </is>
      </c>
      <c r="C9" s="29">
        <f>관리비계산!I17</f>
        <v/>
      </c>
    </row>
    <row r="10">
      <c r="B10" s="28" t="inlineStr">
        <is>
          <t>청소비품</t>
        </is>
      </c>
      <c r="C10" s="29">
        <f>관리비계산!J17</f>
        <v/>
      </c>
    </row>
    <row r="11">
      <c r="B11" s="28" t="inlineStr">
        <is>
          <t>세대 상수도료</t>
        </is>
      </c>
      <c r="C11" s="29">
        <f>관리비계산!E17</f>
        <v/>
      </c>
    </row>
    <row r="12">
      <c r="B12" s="28" t="inlineStr">
        <is>
          <t>공동 수도료</t>
        </is>
      </c>
      <c r="C12" s="29">
        <f>관리비계산!F17</f>
        <v/>
      </c>
    </row>
    <row r="13">
      <c r="B13" s="28" t="inlineStr">
        <is>
          <t>전기료(공용)</t>
        </is>
      </c>
      <c r="C13" s="29">
        <f>관리비계산!G17</f>
        <v/>
      </c>
    </row>
    <row r="14">
      <c r="B14" s="30" t="inlineStr">
        <is>
          <t>당월부과액 계</t>
        </is>
      </c>
      <c r="C14" s="31">
        <f>관리비계산!K17</f>
        <v/>
      </c>
    </row>
    <row r="15">
      <c r="B15" s="28" t="inlineStr">
        <is>
          <t>전월 미납액</t>
        </is>
      </c>
      <c r="C15" s="29">
        <f>관리비계산!L17</f>
        <v/>
      </c>
    </row>
    <row r="16">
      <c r="B16" s="28" t="inlineStr">
        <is>
          <t>미납 연체료(1.5%)</t>
        </is>
      </c>
      <c r="C16" s="29">
        <f>관리비계산!M17</f>
        <v/>
      </c>
    </row>
    <row r="17">
      <c r="B17" s="32" t="inlineStr">
        <is>
          <t>납기내 금액</t>
        </is>
      </c>
      <c r="C17" s="33">
        <f>관리비계산!N17</f>
        <v/>
      </c>
    </row>
    <row r="18">
      <c r="B18" s="34" t="inlineStr">
        <is>
          <t>납기후 금액</t>
        </is>
      </c>
      <c r="C18" s="35">
        <f>관리비계산!O17</f>
        <v/>
      </c>
    </row>
    <row r="20">
      <c r="B20" s="7" t="inlineStr">
        <is>
          <t>납부기한 : 매월 말일</t>
        </is>
      </c>
    </row>
    <row r="21">
      <c r="B21" s="7" t="inlineStr">
        <is>
          <t>입금계좌 : 신협 137-010-094596 유성진(웰스타임)</t>
        </is>
      </c>
    </row>
    <row r="22">
      <c r="B22" s="36" t="inlineStr">
        <is>
          <t>위 금액을 청구합니다.  웰스타임 관리사무소</t>
        </is>
      </c>
    </row>
  </sheetData>
  <mergeCells count="6">
    <mergeCell ref="A1:D1"/>
    <mergeCell ref="B21:C21"/>
    <mergeCell ref="B20:C20"/>
    <mergeCell ref="B22:C22"/>
    <mergeCell ref="A2:D2"/>
    <mergeCell ref="B4:C4"/>
  </mergeCells>
  <pageMargins left="0.75" right="0.75" top="1" bottom="1" header="0.5" footer="0.5"/>
  <pageSetup orientation="portrait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3" customWidth="1" min="4" max="4"/>
  </cols>
  <sheetData>
    <row r="1" ht="32" customHeight="1">
      <c r="A1" s="22" t="inlineStr">
        <is>
          <t>관 리 비 청 구 서</t>
        </is>
      </c>
    </row>
    <row r="2">
      <c r="A2" s="23" t="inlineStr">
        <is>
          <t>웰스타임 관리사무소</t>
        </is>
      </c>
    </row>
    <row r="4">
      <c r="B4" s="24">
        <f>관리비계산!B5&amp;"년 "&amp;관리비계산!D5&amp;"월분"</f>
        <v/>
      </c>
    </row>
    <row r="5">
      <c r="B5" s="25" t="inlineStr">
        <is>
          <t>세대명</t>
        </is>
      </c>
      <c r="C5" s="26" t="inlineStr">
        <is>
          <t>아기고래</t>
        </is>
      </c>
    </row>
    <row r="7">
      <c r="B7" s="27" t="inlineStr">
        <is>
          <t>항목</t>
        </is>
      </c>
      <c r="C7" s="27" t="inlineStr">
        <is>
          <t>금액</t>
        </is>
      </c>
    </row>
    <row r="8">
      <c r="B8" s="28" t="inlineStr">
        <is>
          <t>일반관리비</t>
        </is>
      </c>
      <c r="C8" s="29">
        <f>관리비계산!H18</f>
        <v/>
      </c>
    </row>
    <row r="9">
      <c r="B9" s="28" t="inlineStr">
        <is>
          <t>관리비 부가세</t>
        </is>
      </c>
      <c r="C9" s="29">
        <f>관리비계산!I18</f>
        <v/>
      </c>
    </row>
    <row r="10">
      <c r="B10" s="28" t="inlineStr">
        <is>
          <t>청소비품</t>
        </is>
      </c>
      <c r="C10" s="29">
        <f>관리비계산!J18</f>
        <v/>
      </c>
    </row>
    <row r="11">
      <c r="B11" s="28" t="inlineStr">
        <is>
          <t>세대 상수도료</t>
        </is>
      </c>
      <c r="C11" s="29">
        <f>관리비계산!E18</f>
        <v/>
      </c>
    </row>
    <row r="12">
      <c r="B12" s="28" t="inlineStr">
        <is>
          <t>공동 수도료</t>
        </is>
      </c>
      <c r="C12" s="29">
        <f>관리비계산!F18</f>
        <v/>
      </c>
    </row>
    <row r="13">
      <c r="B13" s="28" t="inlineStr">
        <is>
          <t>전기료(공용)</t>
        </is>
      </c>
      <c r="C13" s="29">
        <f>관리비계산!G18</f>
        <v/>
      </c>
    </row>
    <row r="14">
      <c r="B14" s="30" t="inlineStr">
        <is>
          <t>당월부과액 계</t>
        </is>
      </c>
      <c r="C14" s="31">
        <f>관리비계산!K18</f>
        <v/>
      </c>
    </row>
    <row r="15">
      <c r="B15" s="28" t="inlineStr">
        <is>
          <t>전월 미납액</t>
        </is>
      </c>
      <c r="C15" s="29">
        <f>관리비계산!L18</f>
        <v/>
      </c>
    </row>
    <row r="16">
      <c r="B16" s="28" t="inlineStr">
        <is>
          <t>미납 연체료(1.5%)</t>
        </is>
      </c>
      <c r="C16" s="29">
        <f>관리비계산!M18</f>
        <v/>
      </c>
    </row>
    <row r="17">
      <c r="B17" s="32" t="inlineStr">
        <is>
          <t>납기내 금액</t>
        </is>
      </c>
      <c r="C17" s="33">
        <f>관리비계산!N18</f>
        <v/>
      </c>
    </row>
    <row r="18">
      <c r="B18" s="34" t="inlineStr">
        <is>
          <t>납기후 금액</t>
        </is>
      </c>
      <c r="C18" s="35">
        <f>관리비계산!O18</f>
        <v/>
      </c>
    </row>
    <row r="20">
      <c r="B20" s="7" t="inlineStr">
        <is>
          <t>납부기한 : 매월 말일</t>
        </is>
      </c>
    </row>
    <row r="21">
      <c r="B21" s="7" t="inlineStr">
        <is>
          <t>입금계좌 : 신협 137-010-094596 유성진(웰스타임)</t>
        </is>
      </c>
    </row>
    <row r="22">
      <c r="B22" s="36" t="inlineStr">
        <is>
          <t>위 금액을 청구합니다.  웰스타임 관리사무소</t>
        </is>
      </c>
    </row>
  </sheetData>
  <mergeCells count="6">
    <mergeCell ref="A1:D1"/>
    <mergeCell ref="B21:C21"/>
    <mergeCell ref="B20:C20"/>
    <mergeCell ref="B22:C22"/>
    <mergeCell ref="A2:D2"/>
    <mergeCell ref="B4:C4"/>
  </mergeCells>
  <pageMargins left="0.75" right="0.75" top="1" bottom="1" header="0.5" footer="0.5"/>
  <pageSetup orientation="portrait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3" customWidth="1" min="4" max="4"/>
  </cols>
  <sheetData>
    <row r="1" ht="32" customHeight="1">
      <c r="A1" s="22" t="inlineStr">
        <is>
          <t>관 리 비 청 구 서</t>
        </is>
      </c>
    </row>
    <row r="2">
      <c r="A2" s="23" t="inlineStr">
        <is>
          <t>웰스타임 관리사무소</t>
        </is>
      </c>
    </row>
    <row r="4">
      <c r="B4" s="24">
        <f>관리비계산!B5&amp;"년 "&amp;관리비계산!D5&amp;"월분"</f>
        <v/>
      </c>
    </row>
    <row r="5">
      <c r="B5" s="25" t="inlineStr">
        <is>
          <t>세대명</t>
        </is>
      </c>
      <c r="C5" s="26" t="inlineStr">
        <is>
          <t>카카오3F</t>
        </is>
      </c>
    </row>
    <row r="7">
      <c r="B7" s="27" t="inlineStr">
        <is>
          <t>항목</t>
        </is>
      </c>
      <c r="C7" s="27" t="inlineStr">
        <is>
          <t>금액</t>
        </is>
      </c>
    </row>
    <row r="8">
      <c r="B8" s="28" t="inlineStr">
        <is>
          <t>일반관리비</t>
        </is>
      </c>
      <c r="C8" s="29">
        <f>관리비계산!H19</f>
        <v/>
      </c>
    </row>
    <row r="9">
      <c r="B9" s="28" t="inlineStr">
        <is>
          <t>관리비 부가세</t>
        </is>
      </c>
      <c r="C9" s="29">
        <f>관리비계산!I19</f>
        <v/>
      </c>
    </row>
    <row r="10">
      <c r="B10" s="28" t="inlineStr">
        <is>
          <t>청소비품</t>
        </is>
      </c>
      <c r="C10" s="29">
        <f>관리비계산!J19</f>
        <v/>
      </c>
    </row>
    <row r="11">
      <c r="B11" s="28" t="inlineStr">
        <is>
          <t>세대 상수도료</t>
        </is>
      </c>
      <c r="C11" s="29">
        <f>관리비계산!E19</f>
        <v/>
      </c>
    </row>
    <row r="12">
      <c r="B12" s="28" t="inlineStr">
        <is>
          <t>공동 수도료</t>
        </is>
      </c>
      <c r="C12" s="29">
        <f>관리비계산!F19</f>
        <v/>
      </c>
    </row>
    <row r="13">
      <c r="B13" s="28" t="inlineStr">
        <is>
          <t>전기료(공용)</t>
        </is>
      </c>
      <c r="C13" s="29">
        <f>관리비계산!G19</f>
        <v/>
      </c>
    </row>
    <row r="14">
      <c r="B14" s="30" t="inlineStr">
        <is>
          <t>당월부과액 계</t>
        </is>
      </c>
      <c r="C14" s="31">
        <f>관리비계산!K19</f>
        <v/>
      </c>
    </row>
    <row r="15">
      <c r="B15" s="28" t="inlineStr">
        <is>
          <t>전월 미납액</t>
        </is>
      </c>
      <c r="C15" s="29">
        <f>관리비계산!L19</f>
        <v/>
      </c>
    </row>
    <row r="16">
      <c r="B16" s="28" t="inlineStr">
        <is>
          <t>미납 연체료(1.5%)</t>
        </is>
      </c>
      <c r="C16" s="29">
        <f>관리비계산!M19</f>
        <v/>
      </c>
    </row>
    <row r="17">
      <c r="B17" s="32" t="inlineStr">
        <is>
          <t>납기내 금액</t>
        </is>
      </c>
      <c r="C17" s="33">
        <f>관리비계산!N19</f>
        <v/>
      </c>
    </row>
    <row r="18">
      <c r="B18" s="34" t="inlineStr">
        <is>
          <t>납기후 금액</t>
        </is>
      </c>
      <c r="C18" s="35">
        <f>관리비계산!O19</f>
        <v/>
      </c>
    </row>
    <row r="20">
      <c r="B20" s="7" t="inlineStr">
        <is>
          <t>납부기한 : 매월 말일</t>
        </is>
      </c>
    </row>
    <row r="21">
      <c r="B21" s="7" t="inlineStr">
        <is>
          <t>입금계좌 : 신협 137-010-094596 유성진(웰스타임)</t>
        </is>
      </c>
    </row>
    <row r="22">
      <c r="B22" s="36" t="inlineStr">
        <is>
          <t>위 금액을 청구합니다.  웰스타임 관리사무소</t>
        </is>
      </c>
    </row>
  </sheetData>
  <mergeCells count="6">
    <mergeCell ref="A1:D1"/>
    <mergeCell ref="B21:C21"/>
    <mergeCell ref="B20:C20"/>
    <mergeCell ref="B22:C22"/>
    <mergeCell ref="A2:D2"/>
    <mergeCell ref="B4:C4"/>
  </mergeCells>
  <pageMargins left="0.75" right="0.75" top="1" bottom="1" header="0.5" footer="0.5"/>
  <pageSetup orientation="portrait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3" customWidth="1" min="4" max="4"/>
  </cols>
  <sheetData>
    <row r="1" ht="32" customHeight="1">
      <c r="A1" s="22" t="inlineStr">
        <is>
          <t>관 리 비 청 구 서</t>
        </is>
      </c>
    </row>
    <row r="2">
      <c r="A2" s="23" t="inlineStr">
        <is>
          <t>웰스타임 관리사무소</t>
        </is>
      </c>
    </row>
    <row r="4">
      <c r="B4" s="24">
        <f>관리비계산!B5&amp;"년 "&amp;관리비계산!D5&amp;"월분"</f>
        <v/>
      </c>
    </row>
    <row r="5">
      <c r="B5" s="25" t="inlineStr">
        <is>
          <t>세대명</t>
        </is>
      </c>
      <c r="C5" s="26" t="inlineStr">
        <is>
          <t>영종스크린4F</t>
        </is>
      </c>
    </row>
    <row r="7">
      <c r="B7" s="27" t="inlineStr">
        <is>
          <t>항목</t>
        </is>
      </c>
      <c r="C7" s="27" t="inlineStr">
        <is>
          <t>금액</t>
        </is>
      </c>
    </row>
    <row r="8">
      <c r="B8" s="28" t="inlineStr">
        <is>
          <t>일반관리비</t>
        </is>
      </c>
      <c r="C8" s="29">
        <f>관리비계산!H20</f>
        <v/>
      </c>
    </row>
    <row r="9">
      <c r="B9" s="28" t="inlineStr">
        <is>
          <t>관리비 부가세</t>
        </is>
      </c>
      <c r="C9" s="29">
        <f>관리비계산!I20</f>
        <v/>
      </c>
    </row>
    <row r="10">
      <c r="B10" s="28" t="inlineStr">
        <is>
          <t>청소비품</t>
        </is>
      </c>
      <c r="C10" s="29">
        <f>관리비계산!J20</f>
        <v/>
      </c>
    </row>
    <row r="11">
      <c r="B11" s="28" t="inlineStr">
        <is>
          <t>세대 상수도료</t>
        </is>
      </c>
      <c r="C11" s="29">
        <f>관리비계산!E20</f>
        <v/>
      </c>
    </row>
    <row r="12">
      <c r="B12" s="28" t="inlineStr">
        <is>
          <t>공동 수도료</t>
        </is>
      </c>
      <c r="C12" s="29">
        <f>관리비계산!F20</f>
        <v/>
      </c>
    </row>
    <row r="13">
      <c r="B13" s="28" t="inlineStr">
        <is>
          <t>전기료(공용)</t>
        </is>
      </c>
      <c r="C13" s="29">
        <f>관리비계산!G20</f>
        <v/>
      </c>
    </row>
    <row r="14">
      <c r="B14" s="30" t="inlineStr">
        <is>
          <t>당월부과액 계</t>
        </is>
      </c>
      <c r="C14" s="31">
        <f>관리비계산!K20</f>
        <v/>
      </c>
    </row>
    <row r="15">
      <c r="B15" s="28" t="inlineStr">
        <is>
          <t>전월 미납액</t>
        </is>
      </c>
      <c r="C15" s="29">
        <f>관리비계산!L20</f>
        <v/>
      </c>
    </row>
    <row r="16">
      <c r="B16" s="28" t="inlineStr">
        <is>
          <t>미납 연체료(1.5%)</t>
        </is>
      </c>
      <c r="C16" s="29">
        <f>관리비계산!M20</f>
        <v/>
      </c>
    </row>
    <row r="17">
      <c r="B17" s="32" t="inlineStr">
        <is>
          <t>납기내 금액</t>
        </is>
      </c>
      <c r="C17" s="33">
        <f>관리비계산!N20</f>
        <v/>
      </c>
    </row>
    <row r="18">
      <c r="B18" s="34" t="inlineStr">
        <is>
          <t>납기후 금액</t>
        </is>
      </c>
      <c r="C18" s="35">
        <f>관리비계산!O20</f>
        <v/>
      </c>
    </row>
    <row r="20">
      <c r="B20" s="7" t="inlineStr">
        <is>
          <t>납부기한 : 매월 말일</t>
        </is>
      </c>
    </row>
    <row r="21">
      <c r="B21" s="7" t="inlineStr">
        <is>
          <t>입금계좌 : 신협 137-010-094596 유성진(웰스타임)</t>
        </is>
      </c>
    </row>
    <row r="22">
      <c r="B22" s="36" t="inlineStr">
        <is>
          <t>위 금액을 청구합니다.  웰스타임 관리사무소</t>
        </is>
      </c>
    </row>
  </sheetData>
  <mergeCells count="6">
    <mergeCell ref="A1:D1"/>
    <mergeCell ref="B21:C21"/>
    <mergeCell ref="B20:C20"/>
    <mergeCell ref="B22:C22"/>
    <mergeCell ref="A2:D2"/>
    <mergeCell ref="B4:C4"/>
  </mergeCells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2026-07-01T06:35:34Z</dcterms:created>
  <dcterms:modified xsi:type="dcterms:W3CDTF">2026-07-01T06:35:34Z</dcterms:modified>
</cp:coreProperties>
</file>