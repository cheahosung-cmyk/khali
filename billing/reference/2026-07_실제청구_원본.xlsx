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htjf\OneDrive\Desktop\통합 관리비\"/>
    </mc:Choice>
  </mc:AlternateContent>
  <xr:revisionPtr revIDLastSave="0" documentId="13_ncr:1_{64270834-2E3B-4279-892B-F90B27A2987A}" xr6:coauthVersionLast="47" xr6:coauthVersionMax="47" xr10:uidLastSave="{00000000-0000-0000-0000-000000000000}"/>
  <bookViews>
    <workbookView xWindow="-120" yWindow="-120" windowWidth="29040" windowHeight="15720" firstSheet="3" activeTab="12" xr2:uid="{00000000-000D-0000-FFFF-FFFF00000000}"/>
  </bookViews>
  <sheets>
    <sheet name="일반 관리비" sheetId="8" r:id="rId1"/>
    <sheet name="수도비용" sheetId="10" r:id="rId2"/>
    <sheet name="전기비용" sheetId="11" r:id="rId3"/>
    <sheet name="통합비용" sheetId="1" r:id="rId4"/>
    <sheet name="에바돈카츠" sheetId="12" r:id="rId5"/>
    <sheet name="코브라독스" sheetId="17" r:id="rId6"/>
    <sheet name="아기고래" sheetId="14" r:id="rId7"/>
    <sheet name="원유로" sheetId="3" r:id="rId8"/>
    <sheet name="와플칸" sheetId="5" r:id="rId9"/>
    <sheet name="명성화로2F" sheetId="16" r:id="rId10"/>
    <sheet name="카카오 스크린3F" sheetId="15" r:id="rId11"/>
    <sheet name="영종스크린 4F" sheetId="18" r:id="rId12"/>
    <sheet name="드림스터디" sheetId="13" r:id="rId13"/>
    <sheet name="Sheet1" sheetId="19" r:id="rId14"/>
  </sheets>
  <definedNames>
    <definedName name="_xlnm.Print_Area" localSheetId="3">통합비용!$A$1:$H$52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C8" i="10" l="1"/>
  <c r="F20" i="10" s="1"/>
  <c r="B44" i="1"/>
  <c r="B45" i="1"/>
  <c r="B46" i="1"/>
  <c r="B47" i="1"/>
  <c r="B48" i="1"/>
  <c r="B49" i="1"/>
  <c r="B50" i="1"/>
  <c r="B51" i="1"/>
  <c r="B43" i="1"/>
  <c r="B38" i="1"/>
  <c r="G31" i="1"/>
  <c r="G32" i="1"/>
  <c r="G33" i="1"/>
  <c r="G34" i="1"/>
  <c r="G35" i="1"/>
  <c r="G36" i="1"/>
  <c r="G37" i="1"/>
  <c r="G38" i="1"/>
  <c r="G30" i="1"/>
  <c r="F27" i="1"/>
  <c r="C27" i="1"/>
  <c r="B27" i="1"/>
  <c r="F11" i="1"/>
  <c r="F12" i="1"/>
  <c r="F13" i="1"/>
  <c r="F14" i="1"/>
  <c r="F15" i="1"/>
  <c r="F16" i="1"/>
  <c r="F17" i="1"/>
  <c r="F18" i="1"/>
  <c r="F10" i="1"/>
  <c r="B11" i="1"/>
  <c r="K10" i="5" s="1"/>
  <c r="B12" i="1"/>
  <c r="K10" i="12" s="1"/>
  <c r="B13" i="1"/>
  <c r="K10" i="13" s="1"/>
  <c r="B14" i="1"/>
  <c r="K10" i="14" s="1"/>
  <c r="B15" i="1"/>
  <c r="K10" i="15" s="1"/>
  <c r="B16" i="1"/>
  <c r="K10" i="18" s="1"/>
  <c r="B17" i="1"/>
  <c r="K10" i="16" s="1"/>
  <c r="B18" i="1"/>
  <c r="K10" i="17" s="1"/>
  <c r="B10" i="1"/>
  <c r="K11" i="3" s="1"/>
  <c r="B6" i="1"/>
  <c r="B5" i="1"/>
  <c r="B3" i="1"/>
  <c r="I16" i="11"/>
  <c r="F38" i="1" s="1"/>
  <c r="I15" i="11"/>
  <c r="F37" i="1" s="1"/>
  <c r="I14" i="11"/>
  <c r="F36" i="1" s="1"/>
  <c r="I13" i="11"/>
  <c r="F35" i="1" s="1"/>
  <c r="I12" i="11"/>
  <c r="F34" i="1" s="1"/>
  <c r="I11" i="11"/>
  <c r="F33" i="1" s="1"/>
  <c r="I10" i="11"/>
  <c r="F32" i="1" s="1"/>
  <c r="I9" i="11"/>
  <c r="F31" i="1" s="1"/>
  <c r="F16" i="11"/>
  <c r="C38" i="1" s="1"/>
  <c r="F15" i="11"/>
  <c r="C37" i="1" s="1"/>
  <c r="F14" i="11"/>
  <c r="C36" i="1" s="1"/>
  <c r="F13" i="11"/>
  <c r="C35" i="1" s="1"/>
  <c r="F12" i="11"/>
  <c r="C34" i="1" s="1"/>
  <c r="F11" i="11"/>
  <c r="C33" i="1" s="1"/>
  <c r="F10" i="11"/>
  <c r="C32" i="1" s="1"/>
  <c r="F9" i="11"/>
  <c r="C31" i="1" s="1"/>
  <c r="D16" i="11"/>
  <c r="D15" i="11"/>
  <c r="B37" i="1" s="1"/>
  <c r="D14" i="11"/>
  <c r="D13" i="11"/>
  <c r="B35" i="1" s="1"/>
  <c r="D12" i="11"/>
  <c r="B34" i="1" s="1"/>
  <c r="D11" i="11"/>
  <c r="B33" i="1" s="1"/>
  <c r="D10" i="11"/>
  <c r="B32" i="1" s="1"/>
  <c r="D9" i="11"/>
  <c r="B31" i="1" s="1"/>
  <c r="I8" i="11"/>
  <c r="F30" i="1" s="1"/>
  <c r="F8" i="11"/>
  <c r="C30" i="1" s="1"/>
  <c r="D8" i="11"/>
  <c r="B30" i="1" s="1"/>
  <c r="K17" i="11"/>
  <c r="K4" i="11"/>
  <c r="G27" i="1" s="1"/>
  <c r="I21" i="10"/>
  <c r="D21" i="10"/>
  <c r="E4" i="10" s="1"/>
  <c r="G4" i="10" s="1"/>
  <c r="F14" i="8"/>
  <c r="C51" i="1" s="1"/>
  <c r="D8" i="17" s="1"/>
  <c r="D10" i="17" s="1"/>
  <c r="F13" i="8"/>
  <c r="C50" i="1" s="1"/>
  <c r="D8" i="16" s="1"/>
  <c r="D10" i="16" s="1"/>
  <c r="F12" i="8"/>
  <c r="C49" i="1" s="1"/>
  <c r="D8" i="15" s="1"/>
  <c r="F11" i="8"/>
  <c r="C48" i="1" s="1"/>
  <c r="F10" i="8"/>
  <c r="C47" i="1" s="1"/>
  <c r="D8" i="14" s="1"/>
  <c r="D10" i="14" s="1"/>
  <c r="F9" i="8"/>
  <c r="C46" i="1" s="1"/>
  <c r="D8" i="13" s="1"/>
  <c r="D10" i="13" s="1"/>
  <c r="F8" i="8"/>
  <c r="C45" i="1" s="1"/>
  <c r="D8" i="12" s="1"/>
  <c r="D10" i="12" s="1"/>
  <c r="F7" i="8"/>
  <c r="C44" i="1" s="1"/>
  <c r="D8" i="5" s="1"/>
  <c r="F6" i="8"/>
  <c r="C43" i="1" s="1"/>
  <c r="D15" i="8"/>
  <c r="M14" i="11" l="1"/>
  <c r="H36" i="1" s="1"/>
  <c r="K14" i="18" s="1"/>
  <c r="D8" i="18"/>
  <c r="D10" i="18" s="1"/>
  <c r="M10" i="11"/>
  <c r="H32" i="1" s="1"/>
  <c r="K14" i="12" s="1"/>
  <c r="C3" i="1"/>
  <c r="C18" i="1"/>
  <c r="K8" i="17" s="1"/>
  <c r="B36" i="1"/>
  <c r="I17" i="11"/>
  <c r="F17" i="11"/>
  <c r="C39" i="1" s="1"/>
  <c r="D10" i="15"/>
  <c r="D9" i="3"/>
  <c r="D11" i="3" s="1"/>
  <c r="G39" i="1"/>
  <c r="D17" i="11"/>
  <c r="B39" i="1" s="1"/>
  <c r="M9" i="11"/>
  <c r="H31" i="1" s="1"/>
  <c r="K14" i="5" s="1"/>
  <c r="M11" i="11"/>
  <c r="H33" i="1" s="1"/>
  <c r="K14" i="13" s="1"/>
  <c r="M12" i="11"/>
  <c r="H34" i="1" s="1"/>
  <c r="K14" i="14" s="1"/>
  <c r="M13" i="11"/>
  <c r="H35" i="1" s="1"/>
  <c r="M16" i="11"/>
  <c r="H38" i="1" s="1"/>
  <c r="K14" i="17" s="1"/>
  <c r="M15" i="11"/>
  <c r="H37" i="1" s="1"/>
  <c r="K14" i="16" s="1"/>
  <c r="M8" i="11"/>
  <c r="H30" i="1" s="1"/>
  <c r="F13" i="10"/>
  <c r="F12" i="10"/>
  <c r="F14" i="10"/>
  <c r="F15" i="10"/>
  <c r="F18" i="10"/>
  <c r="F16" i="10"/>
  <c r="F17" i="10"/>
  <c r="F19" i="10"/>
  <c r="F15" i="8"/>
  <c r="F19" i="1"/>
  <c r="B19" i="1"/>
  <c r="K14" i="15" l="1"/>
  <c r="C12" i="1"/>
  <c r="K8" i="12" s="1"/>
  <c r="C14" i="1"/>
  <c r="K8" i="14" s="1"/>
  <c r="C10" i="1"/>
  <c r="C11" i="1"/>
  <c r="K8" i="5" s="1"/>
  <c r="C17" i="1"/>
  <c r="K8" i="16" s="1"/>
  <c r="C13" i="1"/>
  <c r="K8" i="13" s="1"/>
  <c r="C16" i="1"/>
  <c r="K8" i="18" s="1"/>
  <c r="C15" i="1"/>
  <c r="M17" i="11"/>
  <c r="F21" i="10"/>
  <c r="E7" i="10" s="1"/>
  <c r="G7" i="10" l="1"/>
  <c r="C6" i="1"/>
  <c r="K8" i="15"/>
  <c r="F39" i="1"/>
  <c r="B52" i="1"/>
  <c r="B7" i="1"/>
  <c r="D3" i="1"/>
  <c r="K19" i="10" l="1"/>
  <c r="M19" i="10" s="1"/>
  <c r="K14" i="10"/>
  <c r="M14" i="10" s="1"/>
  <c r="K20" i="10"/>
  <c r="M20" i="10" s="1"/>
  <c r="K13" i="10"/>
  <c r="M13" i="10" s="1"/>
  <c r="K12" i="10"/>
  <c r="K18" i="10"/>
  <c r="M18" i="10" s="1"/>
  <c r="K15" i="10"/>
  <c r="M15" i="10" s="1"/>
  <c r="K17" i="10"/>
  <c r="M17" i="10" s="1"/>
  <c r="K16" i="10"/>
  <c r="M16" i="10" s="1"/>
  <c r="K15" i="3"/>
  <c r="C52" i="1"/>
  <c r="K21" i="10" l="1"/>
  <c r="M21" i="10" s="1"/>
  <c r="M12" i="10"/>
  <c r="K9" i="3"/>
  <c r="H39" i="1"/>
  <c r="C19" i="1"/>
  <c r="D6" i="1" s="1"/>
  <c r="G10" i="1" l="1"/>
  <c r="D27" i="3" s="1"/>
  <c r="O11" i="3" s="1"/>
  <c r="O23" i="3" s="1"/>
  <c r="G15" i="1"/>
  <c r="G14" i="1"/>
  <c r="G17" i="1"/>
  <c r="G11" i="1"/>
  <c r="G18" i="1"/>
  <c r="G12" i="1"/>
  <c r="G13" i="1"/>
  <c r="G16" i="1"/>
  <c r="D26" i="18" s="1"/>
  <c r="O10" i="18" s="1"/>
  <c r="H12" i="1" l="1"/>
  <c r="D26" i="12"/>
  <c r="O10" i="12" s="1"/>
  <c r="O22" i="12" s="1"/>
  <c r="H14" i="1"/>
  <c r="D26" i="14"/>
  <c r="O10" i="14" s="1"/>
  <c r="O22" i="14" s="1"/>
  <c r="H18" i="1"/>
  <c r="D26" i="17"/>
  <c r="O10" i="17" s="1"/>
  <c r="O22" i="17" s="1"/>
  <c r="H11" i="1"/>
  <c r="D26" i="5"/>
  <c r="O10" i="5" s="1"/>
  <c r="O22" i="5" s="1"/>
  <c r="D26" i="15"/>
  <c r="O10" i="15" s="1"/>
  <c r="O22" i="15" s="1"/>
  <c r="H15" i="1"/>
  <c r="H13" i="1"/>
  <c r="D26" i="13"/>
  <c r="O10" i="13" s="1"/>
  <c r="O22" i="13" s="1"/>
  <c r="H17" i="1"/>
  <c r="D26" i="16"/>
  <c r="O10" i="16" s="1"/>
  <c r="O22" i="16" s="1"/>
  <c r="H16" i="1"/>
  <c r="O22" i="18"/>
  <c r="H10" i="1"/>
  <c r="G19" i="1"/>
  <c r="H19" i="1" l="1"/>
</calcChain>
</file>

<file path=xl/sharedStrings.xml><?xml version="1.0" encoding="utf-8"?>
<sst xmlns="http://schemas.openxmlformats.org/spreadsheetml/2006/main" count="458" uniqueCount="138">
  <si>
    <t>전체사용량</t>
    <phoneticPr fontId="1" type="noConversion"/>
  </si>
  <si>
    <t>납기요금</t>
    <phoneticPr fontId="1" type="noConversion"/>
  </si>
  <si>
    <t>단위요금</t>
    <phoneticPr fontId="1" type="noConversion"/>
  </si>
  <si>
    <t>사용량</t>
    <phoneticPr fontId="1" type="noConversion"/>
  </si>
  <si>
    <t>원유로</t>
    <phoneticPr fontId="1" type="noConversion"/>
  </si>
  <si>
    <t>와플칸</t>
    <phoneticPr fontId="1" type="noConversion"/>
  </si>
  <si>
    <t>에바돈카츠</t>
    <phoneticPr fontId="1" type="noConversion"/>
  </si>
  <si>
    <t>드림스터디</t>
    <phoneticPr fontId="1" type="noConversion"/>
  </si>
  <si>
    <t>세대요금</t>
    <phoneticPr fontId="1" type="noConversion"/>
  </si>
  <si>
    <t>공용지분율</t>
    <phoneticPr fontId="1" type="noConversion"/>
  </si>
  <si>
    <t>세대사용요금</t>
    <phoneticPr fontId="1" type="noConversion"/>
  </si>
  <si>
    <t>공용사용요금</t>
    <phoneticPr fontId="1" type="noConversion"/>
  </si>
  <si>
    <t>세대사용</t>
    <phoneticPr fontId="1" type="noConversion"/>
  </si>
  <si>
    <t>공용사용</t>
    <phoneticPr fontId="1" type="noConversion"/>
  </si>
  <si>
    <t>사용기간</t>
    <phoneticPr fontId="1" type="noConversion"/>
  </si>
  <si>
    <t>검침일</t>
    <phoneticPr fontId="1" type="noConversion"/>
  </si>
  <si>
    <t>합계요금</t>
    <phoneticPr fontId="1" type="noConversion"/>
  </si>
  <si>
    <t>단위요금*세대사용량</t>
    <phoneticPr fontId="1" type="noConversion"/>
  </si>
  <si>
    <t>공용사용량</t>
    <phoneticPr fontId="1" type="noConversion"/>
  </si>
  <si>
    <t>전체사용량-세대사용량</t>
    <phoneticPr fontId="1" type="noConversion"/>
  </si>
  <si>
    <t>단위요금</t>
    <phoneticPr fontId="1" type="noConversion"/>
  </si>
  <si>
    <t>납기요금/전체사용량</t>
    <phoneticPr fontId="1" type="noConversion"/>
  </si>
  <si>
    <t>세대사용요금</t>
    <phoneticPr fontId="1" type="noConversion"/>
  </si>
  <si>
    <t>합계</t>
    <phoneticPr fontId="1" type="noConversion"/>
  </si>
  <si>
    <t>분양평수</t>
    <phoneticPr fontId="1" type="noConversion"/>
  </si>
  <si>
    <t>일반관리비</t>
    <phoneticPr fontId="1" type="noConversion"/>
  </si>
  <si>
    <t>원유로</t>
    <phoneticPr fontId="1" type="noConversion"/>
  </si>
  <si>
    <t>와플칸</t>
    <phoneticPr fontId="1" type="noConversion"/>
  </si>
  <si>
    <t>에바돈카츠</t>
    <phoneticPr fontId="1" type="noConversion"/>
  </si>
  <si>
    <t>드림스터디</t>
    <phoneticPr fontId="1" type="noConversion"/>
  </si>
  <si>
    <t>평당</t>
    <phoneticPr fontId="1" type="noConversion"/>
  </si>
  <si>
    <t>일반관리비</t>
    <phoneticPr fontId="1" type="noConversion"/>
  </si>
  <si>
    <t>당월요금</t>
    <phoneticPr fontId="1" type="noConversion"/>
  </si>
  <si>
    <t>전력량요금</t>
    <phoneticPr fontId="1" type="noConversion"/>
  </si>
  <si>
    <t>전력기금</t>
    <phoneticPr fontId="1" type="noConversion"/>
  </si>
  <si>
    <t>사용기간</t>
    <phoneticPr fontId="1" type="noConversion"/>
  </si>
  <si>
    <t>원유로</t>
    <phoneticPr fontId="1" type="noConversion"/>
  </si>
  <si>
    <t>세대요금</t>
    <phoneticPr fontId="1" type="noConversion"/>
  </si>
  <si>
    <t>와플칸</t>
    <phoneticPr fontId="1" type="noConversion"/>
  </si>
  <si>
    <t>에바돈카츠</t>
    <phoneticPr fontId="1" type="noConversion"/>
  </si>
  <si>
    <t>드림스터디</t>
    <phoneticPr fontId="1" type="noConversion"/>
  </si>
  <si>
    <t>합계</t>
    <phoneticPr fontId="1" type="noConversion"/>
  </si>
  <si>
    <t>기본요금</t>
    <phoneticPr fontId="1" type="noConversion"/>
  </si>
  <si>
    <t>전력량요금</t>
    <phoneticPr fontId="1" type="noConversion"/>
  </si>
  <si>
    <t>전력기금</t>
    <phoneticPr fontId="1" type="noConversion"/>
  </si>
  <si>
    <t>공용지분율</t>
    <phoneticPr fontId="1" type="noConversion"/>
  </si>
  <si>
    <t>합계요금</t>
    <phoneticPr fontId="1" type="noConversion"/>
  </si>
  <si>
    <t>기본요금</t>
    <phoneticPr fontId="1" type="noConversion"/>
  </si>
  <si>
    <t xml:space="preserve">                                                                                                                                                                   </t>
    <phoneticPr fontId="1" type="noConversion"/>
  </si>
  <si>
    <t xml:space="preserve">                    </t>
    <phoneticPr fontId="1" type="noConversion"/>
  </si>
  <si>
    <t xml:space="preserve">                      </t>
    <phoneticPr fontId="1" type="noConversion"/>
  </si>
  <si>
    <t xml:space="preserve">                        </t>
    <phoneticPr fontId="1" type="noConversion"/>
  </si>
  <si>
    <t xml:space="preserve">                         </t>
    <phoneticPr fontId="1" type="noConversion"/>
  </si>
  <si>
    <t>아기고래</t>
    <phoneticPr fontId="1" type="noConversion"/>
  </si>
  <si>
    <t>아기고래</t>
    <phoneticPr fontId="1" type="noConversion"/>
  </si>
  <si>
    <t>검침일 04일</t>
    <phoneticPr fontId="1" type="noConversion"/>
  </si>
  <si>
    <t>카카오</t>
    <phoneticPr fontId="1" type="noConversion"/>
  </si>
  <si>
    <t>고기나라</t>
    <phoneticPr fontId="1" type="noConversion"/>
  </si>
  <si>
    <t>코브라독스</t>
    <phoneticPr fontId="1" type="noConversion"/>
  </si>
  <si>
    <t>관리비 납입 영수증 (입주자용)</t>
    <phoneticPr fontId="1" type="noConversion"/>
  </si>
  <si>
    <t>년</t>
    <phoneticPr fontId="1" type="noConversion"/>
  </si>
  <si>
    <t>월</t>
    <phoneticPr fontId="1" type="noConversion"/>
  </si>
  <si>
    <t>호</t>
    <phoneticPr fontId="1" type="noConversion"/>
  </si>
  <si>
    <t>귀하</t>
    <phoneticPr fontId="1" type="noConversion"/>
  </si>
  <si>
    <t>당월부과액계</t>
    <phoneticPr fontId="1" type="noConversion"/>
  </si>
  <si>
    <t>미납액</t>
    <phoneticPr fontId="1" type="noConversion"/>
  </si>
  <si>
    <t>미납연체료</t>
    <phoneticPr fontId="1" type="noConversion"/>
  </si>
  <si>
    <t>납기내금액</t>
    <phoneticPr fontId="1" type="noConversion"/>
  </si>
  <si>
    <t>일반관리비</t>
    <phoneticPr fontId="1" type="noConversion"/>
  </si>
  <si>
    <t>관리비 부가세</t>
    <phoneticPr fontId="1" type="noConversion"/>
  </si>
  <si>
    <t>청소비</t>
    <phoneticPr fontId="1" type="noConversion"/>
  </si>
  <si>
    <t>소독비</t>
    <phoneticPr fontId="1" type="noConversion"/>
  </si>
  <si>
    <t>수선유지비</t>
    <phoneticPr fontId="1" type="noConversion"/>
  </si>
  <si>
    <t>승강기보험료</t>
    <phoneticPr fontId="1" type="noConversion"/>
  </si>
  <si>
    <t>화재보험료</t>
    <phoneticPr fontId="1" type="noConversion"/>
  </si>
  <si>
    <t>공동전기료</t>
    <phoneticPr fontId="1" type="noConversion"/>
  </si>
  <si>
    <t>승강기전기료</t>
    <phoneticPr fontId="1" type="noConversion"/>
  </si>
  <si>
    <t>공동수도료</t>
    <phoneticPr fontId="1" type="noConversion"/>
  </si>
  <si>
    <t>세대상수도료</t>
    <phoneticPr fontId="1" type="noConversion"/>
  </si>
  <si>
    <t>영종스크린</t>
    <phoneticPr fontId="1" type="noConversion"/>
  </si>
  <si>
    <t>카카오3F</t>
    <phoneticPr fontId="1" type="noConversion"/>
  </si>
  <si>
    <t>원유로</t>
    <phoneticPr fontId="1" type="noConversion"/>
  </si>
  <si>
    <t>수도이용량</t>
    <phoneticPr fontId="1" type="noConversion"/>
  </si>
  <si>
    <t>물이용부담</t>
    <phoneticPr fontId="1" type="noConversion"/>
  </si>
  <si>
    <t>전기(공용)</t>
    <phoneticPr fontId="1" type="noConversion"/>
  </si>
  <si>
    <t>청소비품</t>
    <phoneticPr fontId="1" type="noConversion"/>
  </si>
  <si>
    <t>전기안전관리</t>
    <phoneticPr fontId="1" type="noConversion"/>
  </si>
  <si>
    <t>소방안전관리</t>
    <phoneticPr fontId="1" type="noConversion"/>
  </si>
  <si>
    <t>연체료(%)</t>
    <phoneticPr fontId="1" type="noConversion"/>
  </si>
  <si>
    <t>납기후금액</t>
    <phoneticPr fontId="1" type="noConversion"/>
  </si>
  <si>
    <t>납부기한</t>
    <phoneticPr fontId="1" type="noConversion"/>
  </si>
  <si>
    <t>매장명</t>
    <phoneticPr fontId="1" type="noConversion"/>
  </si>
  <si>
    <t>분양 평수</t>
    <phoneticPr fontId="1" type="noConversion"/>
  </si>
  <si>
    <t>평당 관리비</t>
    <phoneticPr fontId="1" type="noConversion"/>
  </si>
  <si>
    <t>일반 관리비</t>
    <phoneticPr fontId="1" type="noConversion"/>
  </si>
  <si>
    <t>코프라독스</t>
    <phoneticPr fontId="1" type="noConversion"/>
  </si>
  <si>
    <t>원</t>
    <phoneticPr fontId="1" type="noConversion"/>
  </si>
  <si>
    <t>비고</t>
    <phoneticPr fontId="1" type="noConversion"/>
  </si>
  <si>
    <t>카카오4F</t>
    <phoneticPr fontId="1" type="noConversion"/>
  </si>
  <si>
    <t>사용 기간</t>
    <phoneticPr fontId="1" type="noConversion"/>
  </si>
  <si>
    <t>납기 요금</t>
    <phoneticPr fontId="1" type="noConversion"/>
  </si>
  <si>
    <t>단위 요금</t>
    <phoneticPr fontId="1" type="noConversion"/>
  </si>
  <si>
    <t>일</t>
    <phoneticPr fontId="1" type="noConversion"/>
  </si>
  <si>
    <t>전체사용</t>
    <phoneticPr fontId="1" type="noConversion"/>
  </si>
  <si>
    <t>납기요금 / 전체 사용량</t>
    <phoneticPr fontId="1" type="noConversion"/>
  </si>
  <si>
    <t>전체 사용량 - 세대 사용량</t>
    <phoneticPr fontId="1" type="noConversion"/>
  </si>
  <si>
    <t>단위 요금 * 세대 사용량</t>
    <phoneticPr fontId="1" type="noConversion"/>
  </si>
  <si>
    <t>세대 사용요금</t>
    <phoneticPr fontId="1" type="noConversion"/>
  </si>
  <si>
    <t>공용 사용량</t>
    <phoneticPr fontId="1" type="noConversion"/>
  </si>
  <si>
    <t>공용지분률</t>
    <phoneticPr fontId="1" type="noConversion"/>
  </si>
  <si>
    <t>기본 요금</t>
    <phoneticPr fontId="1" type="noConversion"/>
  </si>
  <si>
    <t>04일</t>
    <phoneticPr fontId="1" type="noConversion"/>
  </si>
  <si>
    <r>
      <t xml:space="preserve">웰스타임 </t>
    </r>
    <r>
      <rPr>
        <b/>
        <sz val="18"/>
        <color rgb="FF00B0F0"/>
        <rFont val="맑은 고딕"/>
        <family val="3"/>
        <charset val="129"/>
        <scheme val="minor"/>
      </rPr>
      <t>관리사무소</t>
    </r>
    <phoneticPr fontId="1" type="noConversion"/>
  </si>
  <si>
    <t>위 금액을 영수하였습니다.</t>
    <phoneticPr fontId="1" type="noConversion"/>
  </si>
  <si>
    <t>영종 스크린 4F</t>
    <phoneticPr fontId="1" type="noConversion"/>
  </si>
  <si>
    <t>카카오 스크린 3F</t>
    <phoneticPr fontId="1" type="noConversion"/>
  </si>
  <si>
    <t>영종 스크린4F</t>
    <phoneticPr fontId="1" type="noConversion"/>
  </si>
  <si>
    <t>카카오 3F</t>
    <phoneticPr fontId="1" type="noConversion"/>
  </si>
  <si>
    <t>영종스크린 4F</t>
    <phoneticPr fontId="1" type="noConversion"/>
  </si>
  <si>
    <t>전기요금</t>
    <phoneticPr fontId="1" type="noConversion"/>
  </si>
  <si>
    <t>명성화로</t>
    <phoneticPr fontId="1" type="noConversion"/>
  </si>
  <si>
    <t>201~203</t>
    <phoneticPr fontId="1" type="noConversion"/>
  </si>
  <si>
    <t>신협 137-010-094596 유성진 (웰스타임)</t>
    <phoneticPr fontId="1" type="noConversion"/>
  </si>
  <si>
    <t>유지보수비</t>
    <phoneticPr fontId="1" type="noConversion"/>
  </si>
  <si>
    <t>가스안전검사</t>
    <phoneticPr fontId="1" type="noConversion"/>
  </si>
  <si>
    <t>승강기안전검사</t>
    <phoneticPr fontId="1" type="noConversion"/>
  </si>
  <si>
    <t>승강기안전관리</t>
    <phoneticPr fontId="1" type="noConversion"/>
  </si>
  <si>
    <t>승강기사용점검</t>
    <phoneticPr fontId="1" type="noConversion"/>
  </si>
  <si>
    <t>필이발소</t>
    <phoneticPr fontId="1" type="noConversion"/>
  </si>
  <si>
    <t>04.22 - 05.21</t>
    <phoneticPr fontId="1" type="noConversion"/>
  </si>
  <si>
    <t>2026. 06. 30</t>
    <phoneticPr fontId="1" type="noConversion"/>
  </si>
  <si>
    <r>
      <t xml:space="preserve">웰스타임 </t>
    </r>
    <r>
      <rPr>
        <b/>
        <sz val="18"/>
        <color rgb="FF00B0F0"/>
        <rFont val="맑은 고딕"/>
        <family val="3"/>
        <charset val="129"/>
        <scheme val="minor"/>
      </rPr>
      <t>관리사무소</t>
    </r>
    <r>
      <rPr>
        <b/>
        <sz val="18"/>
        <color theme="1"/>
        <rFont val="맑은 고딕"/>
        <family val="3"/>
        <charset val="129"/>
        <scheme val="minor"/>
      </rPr>
      <t xml:space="preserve"> 2026 / 07월 공동 수도료</t>
    </r>
    <phoneticPr fontId="1" type="noConversion"/>
  </si>
  <si>
    <r>
      <t xml:space="preserve">웰스타임 </t>
    </r>
    <r>
      <rPr>
        <b/>
        <sz val="18"/>
        <color rgb="FF00B0F0"/>
        <rFont val="맑은 고딕"/>
        <family val="3"/>
        <charset val="129"/>
        <scheme val="minor"/>
      </rPr>
      <t>관리사무소</t>
    </r>
    <r>
      <rPr>
        <b/>
        <sz val="18"/>
        <color theme="1"/>
        <rFont val="맑은 고딕"/>
        <family val="3"/>
        <charset val="129"/>
        <scheme val="minor"/>
      </rPr>
      <t xml:space="preserve"> 2026 / 07 월 공동 전기료</t>
    </r>
    <phoneticPr fontId="1" type="noConversion"/>
  </si>
  <si>
    <t>06.05 - 07.03</t>
    <phoneticPr fontId="1" type="noConversion"/>
  </si>
  <si>
    <t>웰스타임 2026년 7월 공동 수도료</t>
    <phoneticPr fontId="1" type="noConversion"/>
  </si>
  <si>
    <t>05.22 - 06.21</t>
    <phoneticPr fontId="1" type="noConversion"/>
  </si>
  <si>
    <r>
      <rPr>
        <b/>
        <sz val="20"/>
        <color theme="1"/>
        <rFont val="맑은 고딕"/>
        <family val="3"/>
        <charset val="129"/>
        <scheme val="minor"/>
      </rPr>
      <t xml:space="preserve">    웰스타임 2026년 7월 공동 전기료</t>
    </r>
    <r>
      <rPr>
        <sz val="11"/>
        <color theme="1"/>
        <rFont val="맑은 고딕"/>
        <family val="2"/>
        <charset val="129"/>
        <scheme val="minor"/>
      </rPr>
      <t xml:space="preserve"> </t>
    </r>
    <phoneticPr fontId="1" type="noConversion"/>
  </si>
  <si>
    <t>2026. 07. 30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</si>
</sst>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0;[Red]0.00"/>
    <numFmt numFmtId="177" formatCode="#,##0_);[Red]\(#,##0\)"/>
    <numFmt numFmtId="178" formatCode="#,##0_);\(#,##0\)"/>
    <numFmt numFmtId="179" formatCode="_-* #,##0_-;\-* #,##0_-;_-* &quot;-&quot;??_-;_-@_-"/>
    <numFmt numFmtId="180" formatCode="_-* #,##0.000_-;\-* #,##0.000_-;_-* &quot;-&quot;??_-;_-@_-"/>
    <numFmt numFmtId="181" formatCode="_-[$₩-412]* #,##0.00_-;\-[$₩-412]* #,##0.00_-;_-[$₩-412]* &quot;-&quot;??_-;_-@_-"/>
    <numFmt numFmtId="182" formatCode="_-[$₩-412]* #,##0_-;\-[$₩-412]* #,##0_-;_-[$₩-412]* &quot;-&quot;??_-;_-@_-"/>
    <numFmt numFmtId="183" formatCode="_-[$₩-412]* #,##0_-;\-[$₩-412]* #,##0_-;_-[$₩-412]* &quot;-&quot;_-;_-@_-"/>
    <numFmt numFmtId="184" formatCode="&quot;₩&quot;#,##0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rgb="FF00B05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00B05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rgb="FF00B0F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8"/>
      <color rgb="FF002060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6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2"/>
      </left>
      <right/>
      <top style="thick">
        <color theme="2"/>
      </top>
      <bottom/>
      <diagonal/>
    </border>
    <border>
      <left/>
      <right/>
      <top style="thick">
        <color theme="2"/>
      </top>
      <bottom/>
      <diagonal/>
    </border>
    <border>
      <left/>
      <right style="thick">
        <color theme="2"/>
      </right>
      <top style="thick">
        <color theme="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3" fillId="9" borderId="5" xfId="7" applyBorder="1">
      <alignment vertical="center"/>
    </xf>
    <xf numFmtId="0" fontId="3" fillId="9" borderId="11" xfId="7" applyBorder="1" applyAlignment="1">
      <alignment vertical="center"/>
    </xf>
    <xf numFmtId="0" fontId="3" fillId="9" borderId="6" xfId="7" applyBorder="1">
      <alignment vertical="center"/>
    </xf>
    <xf numFmtId="0" fontId="3" fillId="9" borderId="7" xfId="7" applyBorder="1">
      <alignment vertical="center"/>
    </xf>
    <xf numFmtId="0" fontId="3" fillId="9" borderId="0" xfId="7" applyBorder="1" applyAlignment="1">
      <alignment vertical="center"/>
    </xf>
    <xf numFmtId="0" fontId="3" fillId="9" borderId="8" xfId="7" applyBorder="1">
      <alignment vertical="center"/>
    </xf>
    <xf numFmtId="0" fontId="3" fillId="9" borderId="9" xfId="7" applyBorder="1">
      <alignment vertical="center"/>
    </xf>
    <xf numFmtId="0" fontId="3" fillId="9" borderId="12" xfId="7" applyBorder="1" applyAlignment="1">
      <alignment vertical="center"/>
    </xf>
    <xf numFmtId="0" fontId="3" fillId="9" borderId="10" xfId="7" applyBorder="1">
      <alignment vertical="center"/>
    </xf>
    <xf numFmtId="0" fontId="4" fillId="3" borderId="2" xfId="1" applyBorder="1">
      <alignment vertical="center"/>
    </xf>
    <xf numFmtId="0" fontId="5" fillId="4" borderId="2" xfId="2" applyBorder="1">
      <alignment vertical="center"/>
    </xf>
    <xf numFmtId="0" fontId="3" fillId="6" borderId="2" xfId="4" applyBorder="1">
      <alignment vertical="center"/>
    </xf>
    <xf numFmtId="176" fontId="3" fillId="6" borderId="2" xfId="4" applyNumberFormat="1" applyBorder="1">
      <alignment vertical="center"/>
    </xf>
    <xf numFmtId="0" fontId="3" fillId="10" borderId="2" xfId="8" applyBorder="1">
      <alignment vertical="center"/>
    </xf>
    <xf numFmtId="3" fontId="3" fillId="10" borderId="2" xfId="8" applyNumberFormat="1" applyBorder="1">
      <alignment vertical="center"/>
    </xf>
    <xf numFmtId="3" fontId="6" fillId="7" borderId="2" xfId="5" applyNumberFormat="1" applyBorder="1">
      <alignment vertical="center"/>
    </xf>
    <xf numFmtId="0" fontId="0" fillId="5" borderId="1" xfId="3" applyFont="1" applyAlignment="1">
      <alignment horizontal="center" vertical="center"/>
    </xf>
    <xf numFmtId="3" fontId="0" fillId="5" borderId="1" xfId="3" applyNumberFormat="1" applyFont="1">
      <alignment vertical="center"/>
    </xf>
    <xf numFmtId="177" fontId="0" fillId="11" borderId="2" xfId="9" applyNumberFormat="1" applyFont="1" applyBorder="1" applyAlignment="1">
      <alignment horizontal="center" vertical="center"/>
    </xf>
    <xf numFmtId="177" fontId="3" fillId="11" borderId="2" xfId="9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right" vertical="center"/>
    </xf>
    <xf numFmtId="178" fontId="0" fillId="0" borderId="2" xfId="0" applyNumberFormat="1" applyBorder="1">
      <alignment vertical="center"/>
    </xf>
    <xf numFmtId="0" fontId="3" fillId="11" borderId="2" xfId="9" applyBorder="1">
      <alignment vertical="center"/>
    </xf>
    <xf numFmtId="178" fontId="6" fillId="7" borderId="2" xfId="5" applyNumberFormat="1" applyBorder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4" fillId="3" borderId="3" xfId="1" applyBorder="1">
      <alignment vertical="center"/>
    </xf>
    <xf numFmtId="3" fontId="0" fillId="0" borderId="3" xfId="0" applyNumberFormat="1" applyBorder="1">
      <alignment vertical="center"/>
    </xf>
    <xf numFmtId="0" fontId="4" fillId="3" borderId="24" xfId="1" applyBorder="1">
      <alignment vertical="center"/>
    </xf>
    <xf numFmtId="3" fontId="3" fillId="8" borderId="25" xfId="6" applyNumberFormat="1" applyBorder="1">
      <alignment vertical="center"/>
    </xf>
    <xf numFmtId="3" fontId="3" fillId="8" borderId="26" xfId="6" applyNumberFormat="1" applyBorder="1">
      <alignment vertical="center"/>
    </xf>
    <xf numFmtId="41" fontId="0" fillId="0" borderId="0" xfId="10" applyFont="1" applyAlignment="1">
      <alignment horizontal="center" vertical="center"/>
    </xf>
    <xf numFmtId="41" fontId="0" fillId="0" borderId="0" xfId="10" applyFont="1" applyAlignment="1">
      <alignment vertical="center"/>
    </xf>
    <xf numFmtId="41" fontId="9" fillId="17" borderId="0" xfId="10" applyFont="1" applyFill="1" applyAlignment="1">
      <alignment vertical="center"/>
    </xf>
    <xf numFmtId="0" fontId="9" fillId="16" borderId="29" xfId="0" applyFont="1" applyFill="1" applyBorder="1" applyAlignment="1">
      <alignment horizontal="center" vertical="center"/>
    </xf>
    <xf numFmtId="0" fontId="0" fillId="0" borderId="32" xfId="0" applyBorder="1">
      <alignment vertical="center"/>
    </xf>
    <xf numFmtId="0" fontId="0" fillId="17" borderId="35" xfId="0" applyFill="1" applyBorder="1">
      <alignment vertical="center"/>
    </xf>
    <xf numFmtId="0" fontId="9" fillId="0" borderId="29" xfId="0" applyFont="1" applyBorder="1" applyAlignment="1">
      <alignment horizontal="center" vertical="center"/>
    </xf>
    <xf numFmtId="0" fontId="9" fillId="0" borderId="48" xfId="0" applyFont="1" applyBorder="1">
      <alignment vertical="center"/>
    </xf>
    <xf numFmtId="41" fontId="9" fillId="17" borderId="32" xfId="10" applyFont="1" applyFill="1" applyBorder="1" applyAlignment="1">
      <alignment horizontal="center" vertical="center"/>
    </xf>
    <xf numFmtId="0" fontId="9" fillId="14" borderId="0" xfId="0" applyFont="1" applyFill="1">
      <alignment vertical="center"/>
    </xf>
    <xf numFmtId="0" fontId="9" fillId="13" borderId="0" xfId="0" applyFont="1" applyFill="1">
      <alignment vertical="center"/>
    </xf>
    <xf numFmtId="0" fontId="17" fillId="0" borderId="0" xfId="0" applyFont="1">
      <alignment vertical="center"/>
    </xf>
    <xf numFmtId="0" fontId="17" fillId="18" borderId="38" xfId="0" applyFont="1" applyFill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0" fillId="13" borderId="0" xfId="0" applyFill="1">
      <alignment vertical="center"/>
    </xf>
    <xf numFmtId="0" fontId="18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81" fontId="17" fillId="21" borderId="18" xfId="0" applyNumberFormat="1" applyFont="1" applyFill="1" applyBorder="1" applyAlignment="1">
      <alignment horizontal="center" vertical="center"/>
    </xf>
    <xf numFmtId="181" fontId="17" fillId="21" borderId="19" xfId="0" applyNumberFormat="1" applyFont="1" applyFill="1" applyBorder="1" applyAlignment="1">
      <alignment horizontal="center" vertical="center"/>
    </xf>
    <xf numFmtId="181" fontId="17" fillId="21" borderId="20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13" borderId="21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 vertical="center"/>
    </xf>
    <xf numFmtId="0" fontId="9" fillId="13" borderId="23" xfId="0" applyFont="1" applyFill="1" applyBorder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41" fontId="9" fillId="13" borderId="0" xfId="10" applyFont="1" applyFill="1" applyAlignment="1">
      <alignment horizontal="center" vertical="center"/>
    </xf>
    <xf numFmtId="0" fontId="9" fillId="21" borderId="18" xfId="0" applyFont="1" applyFill="1" applyBorder="1" applyAlignment="1">
      <alignment horizontal="center" vertical="center"/>
    </xf>
    <xf numFmtId="0" fontId="9" fillId="21" borderId="19" xfId="0" applyFont="1" applyFill="1" applyBorder="1" applyAlignment="1">
      <alignment horizontal="center" vertical="center"/>
    </xf>
    <xf numFmtId="0" fontId="9" fillId="21" borderId="20" xfId="0" applyFont="1" applyFill="1" applyBorder="1" applyAlignment="1">
      <alignment horizontal="center" vertical="center"/>
    </xf>
    <xf numFmtId="182" fontId="9" fillId="21" borderId="18" xfId="0" applyNumberFormat="1" applyFont="1" applyFill="1" applyBorder="1" applyAlignment="1">
      <alignment horizontal="center" vertical="center"/>
    </xf>
    <xf numFmtId="182" fontId="9" fillId="21" borderId="19" xfId="0" applyNumberFormat="1" applyFont="1" applyFill="1" applyBorder="1" applyAlignment="1">
      <alignment horizontal="center" vertical="center"/>
    </xf>
    <xf numFmtId="182" fontId="9" fillId="21" borderId="20" xfId="0" applyNumberFormat="1" applyFont="1" applyFill="1" applyBorder="1" applyAlignment="1">
      <alignment horizontal="center" vertical="center"/>
    </xf>
    <xf numFmtId="182" fontId="17" fillId="21" borderId="18" xfId="0" applyNumberFormat="1" applyFont="1" applyFill="1" applyBorder="1" applyAlignment="1">
      <alignment horizontal="center" vertical="center"/>
    </xf>
    <xf numFmtId="182" fontId="17" fillId="21" borderId="19" xfId="0" applyNumberFormat="1" applyFont="1" applyFill="1" applyBorder="1" applyAlignment="1">
      <alignment horizontal="center" vertical="center"/>
    </xf>
    <xf numFmtId="182" fontId="17" fillId="21" borderId="20" xfId="0" applyNumberFormat="1" applyFont="1" applyFill="1" applyBorder="1" applyAlignment="1">
      <alignment horizontal="center" vertical="center"/>
    </xf>
    <xf numFmtId="182" fontId="9" fillId="21" borderId="18" xfId="10" applyNumberFormat="1" applyFont="1" applyFill="1" applyBorder="1" applyAlignment="1">
      <alignment horizontal="center" vertical="center"/>
    </xf>
    <xf numFmtId="182" fontId="9" fillId="21" borderId="19" xfId="10" applyNumberFormat="1" applyFont="1" applyFill="1" applyBorder="1" applyAlignment="1">
      <alignment horizontal="center" vertical="center"/>
    </xf>
    <xf numFmtId="182" fontId="9" fillId="21" borderId="20" xfId="1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20" borderId="13" xfId="11" applyFont="1" applyFill="1" applyBorder="1" applyAlignment="1">
      <alignment horizontal="center" vertical="center"/>
    </xf>
    <xf numFmtId="0" fontId="14" fillId="20" borderId="14" xfId="11" applyFont="1" applyFill="1" applyBorder="1" applyAlignment="1">
      <alignment horizontal="center" vertical="center"/>
    </xf>
    <xf numFmtId="0" fontId="14" fillId="20" borderId="15" xfId="11" applyFont="1" applyFill="1" applyBorder="1" applyAlignment="1">
      <alignment horizontal="center" vertical="center"/>
    </xf>
    <xf numFmtId="0" fontId="14" fillId="20" borderId="16" xfId="11" applyFont="1" applyFill="1" applyBorder="1" applyAlignment="1">
      <alignment horizontal="center" vertical="center"/>
    </xf>
    <xf numFmtId="0" fontId="14" fillId="20" borderId="0" xfId="11" applyFont="1" applyFill="1" applyBorder="1" applyAlignment="1">
      <alignment horizontal="center" vertical="center"/>
    </xf>
    <xf numFmtId="0" fontId="14" fillId="20" borderId="17" xfId="11" applyFont="1" applyFill="1" applyBorder="1" applyAlignment="1">
      <alignment horizontal="center" vertical="center"/>
    </xf>
    <xf numFmtId="0" fontId="14" fillId="20" borderId="18" xfId="11" applyFont="1" applyFill="1" applyBorder="1" applyAlignment="1">
      <alignment horizontal="center" vertical="center"/>
    </xf>
    <xf numFmtId="0" fontId="14" fillId="20" borderId="19" xfId="11" applyFont="1" applyFill="1" applyBorder="1" applyAlignment="1">
      <alignment horizontal="center" vertical="center"/>
    </xf>
    <xf numFmtId="0" fontId="14" fillId="20" borderId="20" xfId="1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1" fontId="9" fillId="17" borderId="34" xfId="10" applyFont="1" applyFill="1" applyBorder="1" applyAlignment="1">
      <alignment horizontal="center" vertical="center"/>
    </xf>
    <xf numFmtId="0" fontId="9" fillId="16" borderId="30" xfId="0" applyFont="1" applyFill="1" applyBorder="1" applyAlignment="1">
      <alignment horizontal="center" vertical="center"/>
    </xf>
    <xf numFmtId="0" fontId="9" fillId="16" borderId="31" xfId="0" applyFont="1" applyFill="1" applyBorder="1" applyAlignment="1">
      <alignment horizontal="center" vertical="center"/>
    </xf>
    <xf numFmtId="0" fontId="10" fillId="17" borderId="33" xfId="0" applyFont="1" applyFill="1" applyBorder="1" applyAlignment="1">
      <alignment horizontal="center" vertical="center"/>
    </xf>
    <xf numFmtId="0" fontId="10" fillId="17" borderId="34" xfId="0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41" fontId="9" fillId="17" borderId="34" xfId="0" applyNumberFormat="1" applyFont="1" applyFill="1" applyBorder="1" applyAlignment="1">
      <alignment horizontal="center" vertical="center"/>
    </xf>
    <xf numFmtId="0" fontId="9" fillId="17" borderId="34" xfId="0" applyFont="1" applyFill="1" applyBorder="1" applyAlignment="1">
      <alignment horizontal="center" vertical="center"/>
    </xf>
    <xf numFmtId="41" fontId="9" fillId="0" borderId="43" xfId="0" applyNumberFormat="1" applyFont="1" applyBorder="1" applyAlignment="1">
      <alignment horizontal="center" vertical="center"/>
    </xf>
    <xf numFmtId="41" fontId="9" fillId="0" borderId="40" xfId="0" applyNumberFormat="1" applyFont="1" applyBorder="1" applyAlignment="1">
      <alignment horizontal="center" vertical="center"/>
    </xf>
    <xf numFmtId="0" fontId="9" fillId="15" borderId="0" xfId="0" applyFont="1" applyFill="1" applyAlignment="1">
      <alignment horizontal="center" vertical="center"/>
    </xf>
    <xf numFmtId="0" fontId="9" fillId="16" borderId="27" xfId="0" applyFont="1" applyFill="1" applyBorder="1" applyAlignment="1">
      <alignment horizontal="center" vertical="center"/>
    </xf>
    <xf numFmtId="0" fontId="9" fillId="16" borderId="28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7" fillId="18" borderId="37" xfId="0" applyFont="1" applyFill="1" applyBorder="1" applyAlignment="1">
      <alignment horizontal="center" vertical="center"/>
    </xf>
    <xf numFmtId="0" fontId="17" fillId="18" borderId="36" xfId="0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41" fontId="9" fillId="17" borderId="31" xfId="10" applyFont="1" applyFill="1" applyBorder="1" applyAlignment="1">
      <alignment horizontal="center" vertical="center"/>
    </xf>
    <xf numFmtId="0" fontId="17" fillId="18" borderId="27" xfId="0" applyFont="1" applyFill="1" applyBorder="1" applyAlignment="1">
      <alignment horizontal="center" vertical="center"/>
    </xf>
    <xf numFmtId="0" fontId="17" fillId="18" borderId="28" xfId="0" applyFont="1" applyFill="1" applyBorder="1" applyAlignment="1">
      <alignment horizontal="center" vertical="center"/>
    </xf>
    <xf numFmtId="0" fontId="17" fillId="18" borderId="39" xfId="0" applyFont="1" applyFill="1" applyBorder="1" applyAlignment="1">
      <alignment horizontal="center" vertical="center"/>
    </xf>
    <xf numFmtId="0" fontId="17" fillId="18" borderId="40" xfId="0" applyFont="1" applyFill="1" applyBorder="1" applyAlignment="1">
      <alignment horizontal="center" vertical="center"/>
    </xf>
    <xf numFmtId="0" fontId="9" fillId="18" borderId="27" xfId="0" applyFont="1" applyFill="1" applyBorder="1" applyAlignment="1">
      <alignment horizontal="center" vertical="center"/>
    </xf>
    <xf numFmtId="0" fontId="9" fillId="18" borderId="28" xfId="0" applyFont="1" applyFill="1" applyBorder="1" applyAlignment="1">
      <alignment horizontal="center" vertical="center"/>
    </xf>
    <xf numFmtId="0" fontId="9" fillId="18" borderId="36" xfId="0" applyFont="1" applyFill="1" applyBorder="1" applyAlignment="1">
      <alignment horizontal="center" vertical="center"/>
    </xf>
    <xf numFmtId="0" fontId="9" fillId="18" borderId="38" xfId="0" applyFont="1" applyFill="1" applyBorder="1" applyAlignment="1">
      <alignment horizontal="center" vertical="center"/>
    </xf>
    <xf numFmtId="179" fontId="9" fillId="0" borderId="28" xfId="0" applyNumberFormat="1" applyFont="1" applyBorder="1" applyAlignment="1">
      <alignment horizontal="center" vertical="center"/>
    </xf>
    <xf numFmtId="179" fontId="9" fillId="0" borderId="29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18" borderId="30" xfId="0" applyFont="1" applyFill="1" applyBorder="1" applyAlignment="1">
      <alignment horizontal="center" vertical="center"/>
    </xf>
    <xf numFmtId="0" fontId="9" fillId="18" borderId="31" xfId="0" applyFont="1" applyFill="1" applyBorder="1" applyAlignment="1">
      <alignment horizontal="center" vertical="center"/>
    </xf>
    <xf numFmtId="179" fontId="9" fillId="0" borderId="31" xfId="0" applyNumberFormat="1" applyFont="1" applyBorder="1" applyAlignment="1">
      <alignment horizontal="center" vertical="center"/>
    </xf>
    <xf numFmtId="179" fontId="9" fillId="0" borderId="32" xfId="0" applyNumberFormat="1" applyFont="1" applyBorder="1" applyAlignment="1">
      <alignment horizontal="center" vertical="center"/>
    </xf>
    <xf numFmtId="179" fontId="9" fillId="0" borderId="34" xfId="0" applyNumberFormat="1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18" borderId="33" xfId="0" applyFont="1" applyFill="1" applyBorder="1" applyAlignment="1">
      <alignment horizontal="center" vertical="center"/>
    </xf>
    <xf numFmtId="0" fontId="9" fillId="18" borderId="34" xfId="0" applyFont="1" applyFill="1" applyBorder="1" applyAlignment="1">
      <alignment horizontal="center" vertical="center"/>
    </xf>
    <xf numFmtId="0" fontId="9" fillId="18" borderId="37" xfId="0" applyFont="1" applyFill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43" fontId="9" fillId="17" borderId="49" xfId="0" applyNumberFormat="1" applyFont="1" applyFill="1" applyBorder="1" applyAlignment="1">
      <alignment horizontal="center" vertical="center"/>
    </xf>
    <xf numFmtId="43" fontId="9" fillId="17" borderId="42" xfId="0" applyNumberFormat="1" applyFont="1" applyFill="1" applyBorder="1" applyAlignment="1">
      <alignment horizontal="center" vertical="center"/>
    </xf>
    <xf numFmtId="0" fontId="17" fillId="18" borderId="41" xfId="0" applyFont="1" applyFill="1" applyBorder="1" applyAlignment="1">
      <alignment horizontal="center" vertical="center"/>
    </xf>
    <xf numFmtId="0" fontId="17" fillId="18" borderId="42" xfId="0" applyFont="1" applyFill="1" applyBorder="1" applyAlignment="1">
      <alignment horizontal="center" vertical="center"/>
    </xf>
    <xf numFmtId="41" fontId="9" fillId="0" borderId="28" xfId="0" applyNumberFormat="1" applyFont="1" applyBorder="1" applyAlignment="1">
      <alignment horizontal="center" vertical="center"/>
    </xf>
    <xf numFmtId="41" fontId="9" fillId="0" borderId="29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79" fontId="9" fillId="0" borderId="35" xfId="0" applyNumberFormat="1" applyFont="1" applyBorder="1" applyAlignment="1">
      <alignment horizontal="center" vertical="center"/>
    </xf>
    <xf numFmtId="0" fontId="9" fillId="18" borderId="29" xfId="0" applyFont="1" applyFill="1" applyBorder="1" applyAlignment="1">
      <alignment horizontal="center" vertical="center"/>
    </xf>
    <xf numFmtId="0" fontId="9" fillId="18" borderId="32" xfId="0" applyFont="1" applyFill="1" applyBorder="1" applyAlignment="1">
      <alignment horizontal="center" vertical="center"/>
    </xf>
    <xf numFmtId="0" fontId="9" fillId="18" borderId="35" xfId="0" applyFont="1" applyFill="1" applyBorder="1" applyAlignment="1">
      <alignment horizontal="center" vertical="center"/>
    </xf>
    <xf numFmtId="41" fontId="9" fillId="0" borderId="28" xfId="10" applyFont="1" applyBorder="1" applyAlignment="1">
      <alignment horizontal="center" vertical="center"/>
    </xf>
    <xf numFmtId="179" fontId="9" fillId="0" borderId="27" xfId="0" applyNumberFormat="1" applyFont="1" applyBorder="1" applyAlignment="1">
      <alignment horizontal="center" vertical="center"/>
    </xf>
    <xf numFmtId="180" fontId="9" fillId="0" borderId="28" xfId="0" applyNumberFormat="1" applyFont="1" applyBorder="1" applyAlignment="1">
      <alignment horizontal="center" vertical="center"/>
    </xf>
    <xf numFmtId="41" fontId="9" fillId="0" borderId="43" xfId="10" applyFont="1" applyBorder="1" applyAlignment="1">
      <alignment horizontal="center" vertical="center"/>
    </xf>
    <xf numFmtId="41" fontId="9" fillId="0" borderId="40" xfId="10" applyFont="1" applyBorder="1" applyAlignment="1">
      <alignment horizontal="center" vertical="center"/>
    </xf>
    <xf numFmtId="41" fontId="9" fillId="0" borderId="31" xfId="10" applyFont="1" applyBorder="1" applyAlignment="1">
      <alignment horizontal="center" vertical="center"/>
    </xf>
    <xf numFmtId="41" fontId="9" fillId="0" borderId="32" xfId="10" applyFont="1" applyBorder="1" applyAlignment="1">
      <alignment horizontal="center" vertical="center"/>
    </xf>
    <xf numFmtId="179" fontId="9" fillId="0" borderId="30" xfId="0" applyNumberFormat="1" applyFont="1" applyBorder="1" applyAlignment="1">
      <alignment horizontal="center" vertical="center"/>
    </xf>
    <xf numFmtId="180" fontId="9" fillId="0" borderId="31" xfId="0" applyNumberFormat="1" applyFont="1" applyBorder="1" applyAlignment="1">
      <alignment horizontal="center" vertical="center"/>
    </xf>
    <xf numFmtId="179" fontId="9" fillId="0" borderId="53" xfId="0" applyNumberFormat="1" applyFont="1" applyBorder="1" applyAlignment="1">
      <alignment horizontal="center" vertical="center"/>
    </xf>
    <xf numFmtId="179" fontId="9" fillId="0" borderId="54" xfId="0" applyNumberFormat="1" applyFont="1" applyBorder="1" applyAlignment="1">
      <alignment horizontal="center" vertical="center"/>
    </xf>
    <xf numFmtId="0" fontId="9" fillId="18" borderId="50" xfId="0" applyFont="1" applyFill="1" applyBorder="1" applyAlignment="1">
      <alignment horizontal="center" vertical="center"/>
    </xf>
    <xf numFmtId="0" fontId="9" fillId="18" borderId="48" xfId="0" applyFont="1" applyFill="1" applyBorder="1" applyAlignment="1">
      <alignment horizontal="center" vertical="center"/>
    </xf>
    <xf numFmtId="41" fontId="9" fillId="0" borderId="46" xfId="10" applyFont="1" applyBorder="1" applyAlignment="1">
      <alignment horizontal="center" vertical="center"/>
    </xf>
    <xf numFmtId="41" fontId="9" fillId="0" borderId="47" xfId="10" applyFont="1" applyBorder="1" applyAlignment="1">
      <alignment horizontal="center" vertical="center"/>
    </xf>
    <xf numFmtId="41" fontId="9" fillId="0" borderId="48" xfId="10" applyFont="1" applyBorder="1" applyAlignment="1">
      <alignment horizontal="center" vertical="center"/>
    </xf>
    <xf numFmtId="41" fontId="9" fillId="0" borderId="51" xfId="10" applyFont="1" applyBorder="1" applyAlignment="1">
      <alignment horizontal="center" vertical="center"/>
    </xf>
    <xf numFmtId="179" fontId="9" fillId="0" borderId="50" xfId="0" applyNumberFormat="1" applyFont="1" applyBorder="1" applyAlignment="1">
      <alignment horizontal="center" vertical="center"/>
    </xf>
    <xf numFmtId="179" fontId="9" fillId="0" borderId="48" xfId="0" applyNumberFormat="1" applyFont="1" applyBorder="1" applyAlignment="1">
      <alignment horizontal="center" vertical="center"/>
    </xf>
    <xf numFmtId="180" fontId="9" fillId="0" borderId="48" xfId="0" applyNumberFormat="1" applyFont="1" applyBorder="1" applyAlignment="1">
      <alignment horizontal="center" vertical="center"/>
    </xf>
    <xf numFmtId="179" fontId="9" fillId="0" borderId="51" xfId="0" applyNumberFormat="1" applyFont="1" applyBorder="1" applyAlignment="1">
      <alignment horizontal="center" vertical="center"/>
    </xf>
    <xf numFmtId="0" fontId="9" fillId="18" borderId="52" xfId="0" applyFont="1" applyFill="1" applyBorder="1" applyAlignment="1">
      <alignment horizontal="center" vertical="center"/>
    </xf>
    <xf numFmtId="0" fontId="9" fillId="18" borderId="53" xfId="0" applyFont="1" applyFill="1" applyBorder="1" applyAlignment="1">
      <alignment horizontal="center" vertical="center"/>
    </xf>
    <xf numFmtId="41" fontId="9" fillId="0" borderId="53" xfId="0" applyNumberFormat="1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179" fontId="9" fillId="0" borderId="52" xfId="0" applyNumberFormat="1" applyFont="1" applyBorder="1" applyAlignment="1">
      <alignment horizontal="center" vertical="center"/>
    </xf>
    <xf numFmtId="41" fontId="17" fillId="19" borderId="33" xfId="10" applyFont="1" applyFill="1" applyBorder="1" applyAlignment="1">
      <alignment horizontal="center" vertical="center"/>
    </xf>
    <xf numFmtId="41" fontId="17" fillId="19" borderId="34" xfId="10" applyFont="1" applyFill="1" applyBorder="1" applyAlignment="1">
      <alignment horizontal="center" vertical="center"/>
    </xf>
    <xf numFmtId="0" fontId="17" fillId="18" borderId="55" xfId="0" applyFont="1" applyFill="1" applyBorder="1" applyAlignment="1">
      <alignment horizontal="center" vertical="center"/>
    </xf>
    <xf numFmtId="0" fontId="17" fillId="18" borderId="56" xfId="0" applyFont="1" applyFill="1" applyBorder="1" applyAlignment="1">
      <alignment horizontal="center" vertical="center"/>
    </xf>
    <xf numFmtId="41" fontId="17" fillId="19" borderId="49" xfId="0" applyNumberFormat="1" applyFont="1" applyFill="1" applyBorder="1" applyAlignment="1">
      <alignment horizontal="center" vertical="center"/>
    </xf>
    <xf numFmtId="41" fontId="17" fillId="19" borderId="42" xfId="0" applyNumberFormat="1" applyFont="1" applyFill="1" applyBorder="1" applyAlignment="1">
      <alignment horizontal="center" vertical="center"/>
    </xf>
    <xf numFmtId="0" fontId="17" fillId="18" borderId="57" xfId="0" applyFont="1" applyFill="1" applyBorder="1" applyAlignment="1">
      <alignment horizontal="center" vertical="center"/>
    </xf>
    <xf numFmtId="0" fontId="17" fillId="18" borderId="59" xfId="0" applyFont="1" applyFill="1" applyBorder="1" applyAlignment="1">
      <alignment horizontal="center" vertical="center"/>
    </xf>
    <xf numFmtId="0" fontId="17" fillId="19" borderId="49" xfId="0" applyFont="1" applyFill="1" applyBorder="1" applyAlignment="1">
      <alignment horizontal="center" vertical="center"/>
    </xf>
    <xf numFmtId="0" fontId="17" fillId="19" borderId="58" xfId="0" applyFont="1" applyFill="1" applyBorder="1" applyAlignment="1">
      <alignment horizontal="center" vertical="center"/>
    </xf>
    <xf numFmtId="0" fontId="17" fillId="19" borderId="60" xfId="0" applyFont="1" applyFill="1" applyBorder="1" applyAlignment="1">
      <alignment horizontal="center" vertical="center"/>
    </xf>
    <xf numFmtId="0" fontId="17" fillId="18" borderId="29" xfId="0" applyFont="1" applyFill="1" applyBorder="1" applyAlignment="1">
      <alignment horizontal="center" vertical="center"/>
    </xf>
    <xf numFmtId="41" fontId="17" fillId="19" borderId="35" xfId="1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183" fontId="17" fillId="21" borderId="18" xfId="0" applyNumberFormat="1" applyFont="1" applyFill="1" applyBorder="1" applyAlignment="1">
      <alignment horizontal="center" vertical="center"/>
    </xf>
    <xf numFmtId="183" fontId="17" fillId="21" borderId="19" xfId="0" applyNumberFormat="1" applyFont="1" applyFill="1" applyBorder="1" applyAlignment="1">
      <alignment horizontal="center" vertical="center"/>
    </xf>
    <xf numFmtId="183" fontId="17" fillId="21" borderId="20" xfId="0" applyNumberFormat="1" applyFont="1" applyFill="1" applyBorder="1" applyAlignment="1">
      <alignment horizontal="center" vertical="center"/>
    </xf>
    <xf numFmtId="181" fontId="9" fillId="21" borderId="18" xfId="0" applyNumberFormat="1" applyFont="1" applyFill="1" applyBorder="1" applyAlignment="1">
      <alignment horizontal="center" vertical="center"/>
    </xf>
    <xf numFmtId="181" fontId="9" fillId="21" borderId="19" xfId="0" applyNumberFormat="1" applyFont="1" applyFill="1" applyBorder="1" applyAlignment="1">
      <alignment horizontal="center" vertical="center"/>
    </xf>
    <xf numFmtId="181" fontId="9" fillId="21" borderId="20" xfId="0" applyNumberFormat="1" applyFont="1" applyFill="1" applyBorder="1" applyAlignment="1">
      <alignment horizontal="center" vertical="center"/>
    </xf>
    <xf numFmtId="181" fontId="9" fillId="21" borderId="18" xfId="12" applyNumberFormat="1" applyFont="1" applyFill="1" applyBorder="1" applyAlignment="1">
      <alignment horizontal="center" vertical="center"/>
    </xf>
    <xf numFmtId="181" fontId="9" fillId="21" borderId="19" xfId="12" applyNumberFormat="1" applyFont="1" applyFill="1" applyBorder="1" applyAlignment="1">
      <alignment horizontal="center" vertical="center"/>
    </xf>
    <xf numFmtId="181" fontId="9" fillId="21" borderId="20" xfId="12" applyNumberFormat="1" applyFont="1" applyFill="1" applyBorder="1" applyAlignment="1">
      <alignment horizontal="center" vertical="center"/>
    </xf>
    <xf numFmtId="184" fontId="17" fillId="21" borderId="18" xfId="0" applyNumberFormat="1" applyFont="1" applyFill="1" applyBorder="1" applyAlignment="1">
      <alignment horizontal="right" vertical="center"/>
    </xf>
    <xf numFmtId="184" fontId="17" fillId="21" borderId="19" xfId="0" applyNumberFormat="1" applyFont="1" applyFill="1" applyBorder="1" applyAlignment="1">
      <alignment horizontal="right" vertical="center"/>
    </xf>
    <xf numFmtId="184" fontId="17" fillId="21" borderId="20" xfId="0" applyNumberFormat="1" applyFont="1" applyFill="1" applyBorder="1" applyAlignment="1">
      <alignment horizontal="right" vertical="center"/>
    </xf>
  </cellXfs>
  <cellStyles count="13">
    <cellStyle name="20% - 강조색1" xfId="4" builtinId="30"/>
    <cellStyle name="20% - 강조색2" xfId="6" builtinId="34"/>
    <cellStyle name="20% - 강조색3" xfId="7" builtinId="38"/>
    <cellStyle name="20% - 강조색5" xfId="8" builtinId="46"/>
    <cellStyle name="40% - 강조색4" xfId="9" builtinId="43"/>
    <cellStyle name="강조색2" xfId="5" builtinId="33"/>
    <cellStyle name="강조색3" xfId="11" builtinId="37"/>
    <cellStyle name="나쁨" xfId="1" builtinId="27"/>
    <cellStyle name="메모" xfId="3" builtinId="10"/>
    <cellStyle name="보통" xfId="2" builtinId="28"/>
    <cellStyle name="쉼표 [0]" xfId="10" builtinId="6"/>
    <cellStyle name="통화 [0]" xfId="12" builtinId="7"/>
    <cellStyle name="표준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293251</xdr:colOff>
      <xdr:row>33</xdr:row>
      <xdr:rowOff>47625</xdr:rowOff>
    </xdr:from>
    <xdr:to>
      <xdr:col>16</xdr:col>
      <xdr:colOff>124110</xdr:colOff>
      <xdr:row>35</xdr:row>
      <xdr:rowOff>145762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8345B6CA-0327-4DE4-86BB-681854771F47}"/>
            </a:ext>
          </a:extLst>
        </xdr:cNvPr>
        <xdr:cNvSpPr/>
      </xdr:nvSpPr>
      <xdr:spPr>
        <a:xfrm>
          <a:off x="4950976" y="7305675"/>
          <a:ext cx="535709" cy="517237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 w="3175"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900" b="1"/>
        </a:p>
      </xdr:txBody>
    </xdr:sp>
    <xdr:clientData/>
  </xdr:twoCellAnchor>
  <xdr:twoCellAnchor>
    <xdr:from>
      <xdr:col>14</xdr:col>
      <xdr:colOff>295276</xdr:colOff>
      <xdr:row>33</xdr:row>
      <xdr:rowOff>165913</xdr:rowOff>
    </xdr:from>
    <xdr:to>
      <xdr:col>16</xdr:col>
      <xdr:colOff>180976</xdr:colOff>
      <xdr:row>35</xdr:row>
      <xdr:rowOff>8423</xdr:rowOff>
    </xdr:to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160CF8AA-3BCA-4BBA-AD20-2A5ECDC4EC5B}"/>
            </a:ext>
          </a:extLst>
        </xdr:cNvPr>
        <xdr:cNvSpPr txBox="1"/>
      </xdr:nvSpPr>
      <xdr:spPr>
        <a:xfrm>
          <a:off x="4953001" y="7423963"/>
          <a:ext cx="590550" cy="261610"/>
        </a:xfrm>
        <a:prstGeom prst="rect">
          <a:avLst/>
        </a:prstGeom>
        <a:noFill/>
        <a:ln>
          <a:noFill/>
        </a:ln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000" b="0"/>
            <a:t>수납인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293251</xdr:colOff>
      <xdr:row>33</xdr:row>
      <xdr:rowOff>47625</xdr:rowOff>
    </xdr:from>
    <xdr:to>
      <xdr:col>16</xdr:col>
      <xdr:colOff>124110</xdr:colOff>
      <xdr:row>35</xdr:row>
      <xdr:rowOff>145762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CDC00E1A-9507-4418-B948-D988410DDB3E}"/>
            </a:ext>
          </a:extLst>
        </xdr:cNvPr>
        <xdr:cNvSpPr/>
      </xdr:nvSpPr>
      <xdr:spPr>
        <a:xfrm>
          <a:off x="4950976" y="7305675"/>
          <a:ext cx="535709" cy="517237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 w="3175"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900" b="1"/>
        </a:p>
      </xdr:txBody>
    </xdr:sp>
    <xdr:clientData/>
  </xdr:twoCellAnchor>
  <xdr:twoCellAnchor>
    <xdr:from>
      <xdr:col>14</xdr:col>
      <xdr:colOff>295276</xdr:colOff>
      <xdr:row>33</xdr:row>
      <xdr:rowOff>165913</xdr:rowOff>
    </xdr:from>
    <xdr:to>
      <xdr:col>16</xdr:col>
      <xdr:colOff>180976</xdr:colOff>
      <xdr:row>35</xdr:row>
      <xdr:rowOff>8423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48285FEB-9365-418B-9C48-BE153599A5AF}"/>
            </a:ext>
          </a:extLst>
        </xdr:cNvPr>
        <xdr:cNvSpPr txBox="1"/>
      </xdr:nvSpPr>
      <xdr:spPr>
        <a:xfrm>
          <a:off x="4953001" y="7423963"/>
          <a:ext cx="590550" cy="261610"/>
        </a:xfrm>
        <a:prstGeom prst="rect">
          <a:avLst/>
        </a:prstGeom>
        <a:noFill/>
        <a:ln>
          <a:noFill/>
        </a:ln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000" b="0"/>
            <a:t>수납인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293251</xdr:colOff>
      <xdr:row>33</xdr:row>
      <xdr:rowOff>47625</xdr:rowOff>
    </xdr:from>
    <xdr:to>
      <xdr:col>16</xdr:col>
      <xdr:colOff>124110</xdr:colOff>
      <xdr:row>35</xdr:row>
      <xdr:rowOff>145762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30E92AC6-4739-4294-AB64-9D91C57A831A}"/>
            </a:ext>
          </a:extLst>
        </xdr:cNvPr>
        <xdr:cNvSpPr/>
      </xdr:nvSpPr>
      <xdr:spPr>
        <a:xfrm>
          <a:off x="4950976" y="7305675"/>
          <a:ext cx="535709" cy="517237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 w="3175"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900" b="1"/>
        </a:p>
      </xdr:txBody>
    </xdr:sp>
    <xdr:clientData/>
  </xdr:twoCellAnchor>
  <xdr:twoCellAnchor>
    <xdr:from>
      <xdr:col>14</xdr:col>
      <xdr:colOff>295276</xdr:colOff>
      <xdr:row>33</xdr:row>
      <xdr:rowOff>165913</xdr:rowOff>
    </xdr:from>
    <xdr:to>
      <xdr:col>16</xdr:col>
      <xdr:colOff>180976</xdr:colOff>
      <xdr:row>35</xdr:row>
      <xdr:rowOff>8423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E1F2561C-B669-4DB9-92A9-C6277754745C}"/>
            </a:ext>
          </a:extLst>
        </xdr:cNvPr>
        <xdr:cNvSpPr txBox="1"/>
      </xdr:nvSpPr>
      <xdr:spPr>
        <a:xfrm>
          <a:off x="4953001" y="7423963"/>
          <a:ext cx="590550" cy="261610"/>
        </a:xfrm>
        <a:prstGeom prst="rect">
          <a:avLst/>
        </a:prstGeom>
        <a:noFill/>
        <a:ln>
          <a:noFill/>
        </a:ln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000" b="0"/>
            <a:t>수납인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293251</xdr:colOff>
      <xdr:row>34</xdr:row>
      <xdr:rowOff>47625</xdr:rowOff>
    </xdr:from>
    <xdr:to>
      <xdr:col>16</xdr:col>
      <xdr:colOff>124110</xdr:colOff>
      <xdr:row>36</xdr:row>
      <xdr:rowOff>145762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4832678E-3870-BCDB-487F-7A4DA5A3AD6B}"/>
            </a:ext>
          </a:extLst>
        </xdr:cNvPr>
        <xdr:cNvSpPr/>
      </xdr:nvSpPr>
      <xdr:spPr>
        <a:xfrm>
          <a:off x="4950976" y="7305675"/>
          <a:ext cx="535709" cy="517237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 w="3175"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900" b="1"/>
        </a:p>
      </xdr:txBody>
    </xdr:sp>
    <xdr:clientData/>
  </xdr:twoCellAnchor>
  <xdr:twoCellAnchor>
    <xdr:from>
      <xdr:col>14</xdr:col>
      <xdr:colOff>295276</xdr:colOff>
      <xdr:row>34</xdr:row>
      <xdr:rowOff>165913</xdr:rowOff>
    </xdr:from>
    <xdr:to>
      <xdr:col>16</xdr:col>
      <xdr:colOff>180976</xdr:colOff>
      <xdr:row>36</xdr:row>
      <xdr:rowOff>8423</xdr:rowOff>
    </xdr:to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73D01123-3333-0917-BFDD-6F10392AC780}"/>
            </a:ext>
          </a:extLst>
        </xdr:cNvPr>
        <xdr:cNvSpPr txBox="1"/>
      </xdr:nvSpPr>
      <xdr:spPr>
        <a:xfrm>
          <a:off x="4953001" y="7423963"/>
          <a:ext cx="590550" cy="261610"/>
        </a:xfrm>
        <a:prstGeom prst="rect">
          <a:avLst/>
        </a:prstGeom>
        <a:noFill/>
        <a:ln>
          <a:noFill/>
        </a:ln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000" b="0"/>
            <a:t>수납인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293251</xdr:colOff>
      <xdr:row>33</xdr:row>
      <xdr:rowOff>47625</xdr:rowOff>
    </xdr:from>
    <xdr:to>
      <xdr:col>16</xdr:col>
      <xdr:colOff>124110</xdr:colOff>
      <xdr:row>35</xdr:row>
      <xdr:rowOff>145762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E3F724CB-8868-4449-8EC9-ED0484A7E1ED}"/>
            </a:ext>
          </a:extLst>
        </xdr:cNvPr>
        <xdr:cNvSpPr/>
      </xdr:nvSpPr>
      <xdr:spPr>
        <a:xfrm>
          <a:off x="4950976" y="7305675"/>
          <a:ext cx="535709" cy="517237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 w="3175"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900" b="1"/>
        </a:p>
      </xdr:txBody>
    </xdr:sp>
    <xdr:clientData/>
  </xdr:twoCellAnchor>
  <xdr:twoCellAnchor>
    <xdr:from>
      <xdr:col>14</xdr:col>
      <xdr:colOff>295276</xdr:colOff>
      <xdr:row>33</xdr:row>
      <xdr:rowOff>165913</xdr:rowOff>
    </xdr:from>
    <xdr:to>
      <xdr:col>16</xdr:col>
      <xdr:colOff>180976</xdr:colOff>
      <xdr:row>35</xdr:row>
      <xdr:rowOff>8423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EF176AFF-9552-4A5B-A3A7-46768E989D57}"/>
            </a:ext>
          </a:extLst>
        </xdr:cNvPr>
        <xdr:cNvSpPr txBox="1"/>
      </xdr:nvSpPr>
      <xdr:spPr>
        <a:xfrm>
          <a:off x="4953001" y="7423963"/>
          <a:ext cx="590550" cy="261610"/>
        </a:xfrm>
        <a:prstGeom prst="rect">
          <a:avLst/>
        </a:prstGeom>
        <a:noFill/>
        <a:ln>
          <a:noFill/>
        </a:ln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000" b="0"/>
            <a:t>수납인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293251</xdr:colOff>
      <xdr:row>33</xdr:row>
      <xdr:rowOff>47625</xdr:rowOff>
    </xdr:from>
    <xdr:to>
      <xdr:col>16</xdr:col>
      <xdr:colOff>124110</xdr:colOff>
      <xdr:row>35</xdr:row>
      <xdr:rowOff>145762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B90BBED6-F34C-4159-9D9C-43BCB0D265E5}"/>
            </a:ext>
          </a:extLst>
        </xdr:cNvPr>
        <xdr:cNvSpPr/>
      </xdr:nvSpPr>
      <xdr:spPr>
        <a:xfrm>
          <a:off x="4950976" y="7305675"/>
          <a:ext cx="535709" cy="517237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 w="3175"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900" b="1"/>
        </a:p>
      </xdr:txBody>
    </xdr:sp>
    <xdr:clientData/>
  </xdr:twoCellAnchor>
  <xdr:twoCellAnchor>
    <xdr:from>
      <xdr:col>14</xdr:col>
      <xdr:colOff>295276</xdr:colOff>
      <xdr:row>33</xdr:row>
      <xdr:rowOff>165913</xdr:rowOff>
    </xdr:from>
    <xdr:to>
      <xdr:col>16</xdr:col>
      <xdr:colOff>180976</xdr:colOff>
      <xdr:row>35</xdr:row>
      <xdr:rowOff>8423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310E8CF2-E067-47BB-A5E3-1A3CD1C9B24B}"/>
            </a:ext>
          </a:extLst>
        </xdr:cNvPr>
        <xdr:cNvSpPr txBox="1"/>
      </xdr:nvSpPr>
      <xdr:spPr>
        <a:xfrm>
          <a:off x="4953001" y="7423963"/>
          <a:ext cx="590550" cy="261610"/>
        </a:xfrm>
        <a:prstGeom prst="rect">
          <a:avLst/>
        </a:prstGeom>
        <a:noFill/>
        <a:ln>
          <a:noFill/>
        </a:ln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000" b="0"/>
            <a:t>수납인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293251</xdr:colOff>
      <xdr:row>33</xdr:row>
      <xdr:rowOff>47625</xdr:rowOff>
    </xdr:from>
    <xdr:to>
      <xdr:col>16</xdr:col>
      <xdr:colOff>124110</xdr:colOff>
      <xdr:row>35</xdr:row>
      <xdr:rowOff>145762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BDB57FF4-DD87-4E7D-A375-5F41E577A5A9}"/>
            </a:ext>
          </a:extLst>
        </xdr:cNvPr>
        <xdr:cNvSpPr/>
      </xdr:nvSpPr>
      <xdr:spPr>
        <a:xfrm>
          <a:off x="4950976" y="7305675"/>
          <a:ext cx="535709" cy="517237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 w="3175"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900" b="1"/>
        </a:p>
      </xdr:txBody>
    </xdr:sp>
    <xdr:clientData/>
  </xdr:twoCellAnchor>
  <xdr:twoCellAnchor>
    <xdr:from>
      <xdr:col>14</xdr:col>
      <xdr:colOff>295276</xdr:colOff>
      <xdr:row>33</xdr:row>
      <xdr:rowOff>165913</xdr:rowOff>
    </xdr:from>
    <xdr:to>
      <xdr:col>16</xdr:col>
      <xdr:colOff>180976</xdr:colOff>
      <xdr:row>35</xdr:row>
      <xdr:rowOff>8423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C47A1D5C-EAAE-466A-B976-C12C8C522590}"/>
            </a:ext>
          </a:extLst>
        </xdr:cNvPr>
        <xdr:cNvSpPr txBox="1"/>
      </xdr:nvSpPr>
      <xdr:spPr>
        <a:xfrm>
          <a:off x="4953001" y="7423963"/>
          <a:ext cx="590550" cy="261610"/>
        </a:xfrm>
        <a:prstGeom prst="rect">
          <a:avLst/>
        </a:prstGeom>
        <a:noFill/>
        <a:ln>
          <a:noFill/>
        </a:ln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000" b="0"/>
            <a:t>수납인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293251</xdr:colOff>
      <xdr:row>33</xdr:row>
      <xdr:rowOff>47625</xdr:rowOff>
    </xdr:from>
    <xdr:to>
      <xdr:col>16</xdr:col>
      <xdr:colOff>124110</xdr:colOff>
      <xdr:row>35</xdr:row>
      <xdr:rowOff>145762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80846D4F-8E10-4BFF-8EC5-EBC1FB22E698}"/>
            </a:ext>
          </a:extLst>
        </xdr:cNvPr>
        <xdr:cNvSpPr/>
      </xdr:nvSpPr>
      <xdr:spPr>
        <a:xfrm>
          <a:off x="4950976" y="7305675"/>
          <a:ext cx="535709" cy="517237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 w="3175"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900" b="1"/>
        </a:p>
      </xdr:txBody>
    </xdr:sp>
    <xdr:clientData/>
  </xdr:twoCellAnchor>
  <xdr:twoCellAnchor>
    <xdr:from>
      <xdr:col>14</xdr:col>
      <xdr:colOff>295276</xdr:colOff>
      <xdr:row>33</xdr:row>
      <xdr:rowOff>165913</xdr:rowOff>
    </xdr:from>
    <xdr:to>
      <xdr:col>16</xdr:col>
      <xdr:colOff>180976</xdr:colOff>
      <xdr:row>35</xdr:row>
      <xdr:rowOff>8423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C770D58E-5BA5-4883-982F-453639DD9293}"/>
            </a:ext>
          </a:extLst>
        </xdr:cNvPr>
        <xdr:cNvSpPr txBox="1"/>
      </xdr:nvSpPr>
      <xdr:spPr>
        <a:xfrm>
          <a:off x="4953001" y="7423963"/>
          <a:ext cx="590550" cy="261610"/>
        </a:xfrm>
        <a:prstGeom prst="rect">
          <a:avLst/>
        </a:prstGeom>
        <a:noFill/>
        <a:ln>
          <a:noFill/>
        </a:ln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000" b="0"/>
            <a:t>수납인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293251</xdr:colOff>
      <xdr:row>33</xdr:row>
      <xdr:rowOff>47625</xdr:rowOff>
    </xdr:from>
    <xdr:to>
      <xdr:col>16</xdr:col>
      <xdr:colOff>124110</xdr:colOff>
      <xdr:row>35</xdr:row>
      <xdr:rowOff>145762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E1F1FB8A-6F70-4756-9DD7-D07999DDB65E}"/>
            </a:ext>
          </a:extLst>
        </xdr:cNvPr>
        <xdr:cNvSpPr/>
      </xdr:nvSpPr>
      <xdr:spPr>
        <a:xfrm>
          <a:off x="4950976" y="7305675"/>
          <a:ext cx="535709" cy="517237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 w="3175"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900" b="1"/>
        </a:p>
      </xdr:txBody>
    </xdr:sp>
    <xdr:clientData/>
  </xdr:twoCellAnchor>
  <xdr:twoCellAnchor>
    <xdr:from>
      <xdr:col>14</xdr:col>
      <xdr:colOff>295276</xdr:colOff>
      <xdr:row>33</xdr:row>
      <xdr:rowOff>165913</xdr:rowOff>
    </xdr:from>
    <xdr:to>
      <xdr:col>16</xdr:col>
      <xdr:colOff>180976</xdr:colOff>
      <xdr:row>35</xdr:row>
      <xdr:rowOff>8423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D61945B8-8A48-4BFC-B0DB-78EECF92657B}"/>
            </a:ext>
          </a:extLst>
        </xdr:cNvPr>
        <xdr:cNvSpPr txBox="1"/>
      </xdr:nvSpPr>
      <xdr:spPr>
        <a:xfrm>
          <a:off x="4953001" y="7423963"/>
          <a:ext cx="590550" cy="261610"/>
        </a:xfrm>
        <a:prstGeom prst="rect">
          <a:avLst/>
        </a:prstGeom>
        <a:noFill/>
        <a:ln>
          <a:noFill/>
        </a:ln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000" b="0"/>
            <a:t>수납인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C3AA-D9B3-4D45-BD2C-A086D98810FD}">
  <sheetPr>
    <tabColor rgb="FFC00000"/>
  </sheetPr>
  <dimension ref="A1:I15"/>
  <sheetViews>
    <sheetView workbookViewId="0">
      <selection activeCell="A19" sqref="A19"/>
    </sheetView>
  </sheetViews>
  <sheetFormatPr defaultRowHeight="16.5" x14ac:dyDescent="0.3"/>
  <sheetData>
    <row r="1" spans="1:9" ht="54" customHeight="1" x14ac:dyDescent="0.3">
      <c r="A1" s="66" t="s">
        <v>112</v>
      </c>
      <c r="B1" s="66"/>
      <c r="C1" s="66"/>
      <c r="D1" s="66"/>
      <c r="E1" s="66"/>
      <c r="F1" s="66"/>
      <c r="G1" s="66"/>
      <c r="H1" s="66"/>
      <c r="I1" s="31"/>
    </row>
    <row r="2" spans="1:9" ht="20.25" x14ac:dyDescent="0.3">
      <c r="A2" s="30"/>
      <c r="B2" s="30"/>
      <c r="C2" s="30"/>
      <c r="D2" s="30"/>
      <c r="E2" s="30"/>
      <c r="F2" s="30"/>
      <c r="G2" s="30"/>
      <c r="H2" s="30"/>
      <c r="I2" s="30"/>
    </row>
    <row r="3" spans="1:9" ht="32.1" customHeight="1" x14ac:dyDescent="0.3">
      <c r="A3" s="110" t="s">
        <v>93</v>
      </c>
      <c r="B3" s="110"/>
      <c r="C3" s="110"/>
      <c r="D3" s="110"/>
      <c r="E3" s="110"/>
      <c r="F3" s="110"/>
      <c r="G3" s="39">
        <v>4000</v>
      </c>
      <c r="H3" s="39" t="s">
        <v>96</v>
      </c>
      <c r="I3" s="38"/>
    </row>
    <row r="4" spans="1:9" ht="17.25" thickBot="1" x14ac:dyDescent="0.35">
      <c r="A4" s="29"/>
      <c r="B4" s="29"/>
      <c r="C4" s="29"/>
      <c r="D4" s="29"/>
      <c r="E4" s="29"/>
      <c r="F4" s="29"/>
      <c r="G4" s="29"/>
      <c r="H4" s="37"/>
      <c r="I4" s="37"/>
    </row>
    <row r="5" spans="1:9" ht="39.950000000000003" customHeight="1" x14ac:dyDescent="0.3">
      <c r="A5" s="111" t="s">
        <v>91</v>
      </c>
      <c r="B5" s="112"/>
      <c r="C5" s="112"/>
      <c r="D5" s="112" t="s">
        <v>92</v>
      </c>
      <c r="E5" s="112"/>
      <c r="F5" s="112" t="s">
        <v>94</v>
      </c>
      <c r="G5" s="112"/>
      <c r="H5" s="40" t="s">
        <v>97</v>
      </c>
      <c r="I5" s="29"/>
    </row>
    <row r="6" spans="1:9" ht="32.1" customHeight="1" x14ac:dyDescent="0.3">
      <c r="A6" s="100" t="s">
        <v>4</v>
      </c>
      <c r="B6" s="101"/>
      <c r="C6" s="101"/>
      <c r="D6" s="104">
        <v>44</v>
      </c>
      <c r="E6" s="105"/>
      <c r="F6" s="108">
        <f>D6*G3</f>
        <v>176000</v>
      </c>
      <c r="G6" s="109"/>
      <c r="H6" s="41"/>
    </row>
    <row r="7" spans="1:9" ht="32.1" customHeight="1" x14ac:dyDescent="0.3">
      <c r="A7" s="100" t="s">
        <v>5</v>
      </c>
      <c r="B7" s="101"/>
      <c r="C7" s="101"/>
      <c r="D7" s="104">
        <v>10</v>
      </c>
      <c r="E7" s="105"/>
      <c r="F7" s="108">
        <f>D7*G3</f>
        <v>40000</v>
      </c>
      <c r="G7" s="109"/>
      <c r="H7" s="41"/>
    </row>
    <row r="8" spans="1:9" ht="32.1" customHeight="1" x14ac:dyDescent="0.3">
      <c r="A8" s="100" t="s">
        <v>6</v>
      </c>
      <c r="B8" s="101"/>
      <c r="C8" s="101"/>
      <c r="D8" s="104">
        <v>31</v>
      </c>
      <c r="E8" s="105"/>
      <c r="F8" s="108">
        <f>D8*G3</f>
        <v>124000</v>
      </c>
      <c r="G8" s="109"/>
      <c r="H8" s="41"/>
    </row>
    <row r="9" spans="1:9" ht="32.1" customHeight="1" x14ac:dyDescent="0.3">
      <c r="A9" s="100" t="s">
        <v>7</v>
      </c>
      <c r="B9" s="101"/>
      <c r="C9" s="101"/>
      <c r="D9" s="104">
        <v>207</v>
      </c>
      <c r="E9" s="105"/>
      <c r="F9" s="108">
        <f>D9*G3</f>
        <v>828000</v>
      </c>
      <c r="G9" s="109"/>
      <c r="H9" s="41"/>
    </row>
    <row r="10" spans="1:9" ht="32.1" customHeight="1" x14ac:dyDescent="0.3">
      <c r="A10" s="100" t="s">
        <v>53</v>
      </c>
      <c r="B10" s="101"/>
      <c r="C10" s="101"/>
      <c r="D10" s="104">
        <v>62</v>
      </c>
      <c r="E10" s="105"/>
      <c r="F10" s="108">
        <f>D10*G3</f>
        <v>248000</v>
      </c>
      <c r="G10" s="109"/>
      <c r="H10" s="41"/>
    </row>
    <row r="11" spans="1:9" ht="32.1" customHeight="1" x14ac:dyDescent="0.3">
      <c r="A11" s="100" t="s">
        <v>80</v>
      </c>
      <c r="B11" s="101"/>
      <c r="C11" s="101"/>
      <c r="D11" s="104">
        <v>207</v>
      </c>
      <c r="E11" s="105"/>
      <c r="F11" s="108">
        <f>D11*G3</f>
        <v>828000</v>
      </c>
      <c r="G11" s="109"/>
      <c r="H11" s="41"/>
    </row>
    <row r="12" spans="1:9" ht="32.1" customHeight="1" x14ac:dyDescent="0.3">
      <c r="A12" s="100" t="s">
        <v>116</v>
      </c>
      <c r="B12" s="101"/>
      <c r="C12" s="101"/>
      <c r="D12" s="104">
        <v>207</v>
      </c>
      <c r="E12" s="105"/>
      <c r="F12" s="108">
        <f>D12*G3</f>
        <v>828000</v>
      </c>
      <c r="G12" s="109"/>
      <c r="H12" s="41"/>
    </row>
    <row r="13" spans="1:9" ht="32.1" customHeight="1" x14ac:dyDescent="0.3">
      <c r="A13" s="100" t="s">
        <v>120</v>
      </c>
      <c r="B13" s="101"/>
      <c r="C13" s="101"/>
      <c r="D13" s="104">
        <v>207</v>
      </c>
      <c r="E13" s="105"/>
      <c r="F13" s="108">
        <f>D13*G3</f>
        <v>828000</v>
      </c>
      <c r="G13" s="109"/>
      <c r="H13" s="41"/>
    </row>
    <row r="14" spans="1:9" ht="32.1" customHeight="1" x14ac:dyDescent="0.3">
      <c r="A14" s="100" t="s">
        <v>95</v>
      </c>
      <c r="B14" s="101"/>
      <c r="C14" s="101"/>
      <c r="D14" s="104">
        <v>31</v>
      </c>
      <c r="E14" s="105"/>
      <c r="F14" s="108">
        <f>D14*G3</f>
        <v>124000</v>
      </c>
      <c r="G14" s="109"/>
      <c r="H14" s="41"/>
    </row>
    <row r="15" spans="1:9" ht="32.1" customHeight="1" thickBot="1" x14ac:dyDescent="0.35">
      <c r="A15" s="102" t="s">
        <v>23</v>
      </c>
      <c r="B15" s="103"/>
      <c r="C15" s="103"/>
      <c r="D15" s="99">
        <f>SUM(D6:D14)</f>
        <v>1006</v>
      </c>
      <c r="E15" s="99"/>
      <c r="F15" s="106">
        <f>SUM(F6:F14)</f>
        <v>4024000</v>
      </c>
      <c r="G15" s="107"/>
      <c r="H15" s="42"/>
    </row>
  </sheetData>
  <mergeCells count="35">
    <mergeCell ref="A3:F3"/>
    <mergeCell ref="A1:H1"/>
    <mergeCell ref="F12:G12"/>
    <mergeCell ref="F13:G13"/>
    <mergeCell ref="F14:G14"/>
    <mergeCell ref="A5:C5"/>
    <mergeCell ref="D5:E5"/>
    <mergeCell ref="F5:G5"/>
    <mergeCell ref="D6:E6"/>
    <mergeCell ref="D7:E7"/>
    <mergeCell ref="D8:E8"/>
    <mergeCell ref="D9:E9"/>
    <mergeCell ref="D10:E10"/>
    <mergeCell ref="D11:E11"/>
    <mergeCell ref="D12:E12"/>
    <mergeCell ref="D13:E13"/>
    <mergeCell ref="F15:G15"/>
    <mergeCell ref="F6:G6"/>
    <mergeCell ref="F7:G7"/>
    <mergeCell ref="F8:G8"/>
    <mergeCell ref="F9:G9"/>
    <mergeCell ref="F10:G10"/>
    <mergeCell ref="F11:G11"/>
    <mergeCell ref="D15:E15"/>
    <mergeCell ref="A14:C14"/>
    <mergeCell ref="A15:C15"/>
    <mergeCell ref="A6:C6"/>
    <mergeCell ref="A7:C7"/>
    <mergeCell ref="A8:C8"/>
    <mergeCell ref="A9:C9"/>
    <mergeCell ref="A10:C10"/>
    <mergeCell ref="A11:C11"/>
    <mergeCell ref="A12:C12"/>
    <mergeCell ref="A13:C13"/>
    <mergeCell ref="D14:E1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8883-2103-467B-96B8-DC8EB74D955F}">
  <sheetPr>
    <tabColor rgb="FFFF0000"/>
  </sheetPr>
  <dimension ref="A1:P23"/>
  <sheetViews>
    <sheetView zoomScaleNormal="100" workbookViewId="0">
      <selection activeCell="C4" sqref="C4:D4"/>
    </sheetView>
  </sheetViews>
  <sheetFormatPr defaultRowHeight="16.5" x14ac:dyDescent="0.3"/>
  <cols>
    <col min="7" max="7" width="11.875" customWidth="1"/>
    <col min="8" max="8" width="1" customWidth="1"/>
  </cols>
  <sheetData>
    <row r="1" spans="1:16" ht="54" customHeight="1" x14ac:dyDescent="0.3">
      <c r="A1" s="66" t="s">
        <v>131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</row>
    <row r="2" spans="1:16" ht="17.25" thickBot="1" x14ac:dyDescent="0.35"/>
    <row r="3" spans="1:16" ht="24.95" customHeight="1" thickBot="1" x14ac:dyDescent="0.35">
      <c r="A3" s="115"/>
      <c r="B3" s="114"/>
      <c r="C3" s="114" t="s">
        <v>103</v>
      </c>
      <c r="D3" s="114"/>
      <c r="E3" s="114" t="s">
        <v>12</v>
      </c>
      <c r="F3" s="114"/>
      <c r="G3" s="49" t="s">
        <v>13</v>
      </c>
      <c r="H3" s="48"/>
      <c r="I3" s="48"/>
      <c r="J3" s="48"/>
      <c r="K3" s="48"/>
      <c r="L3" s="48"/>
      <c r="M3" s="48"/>
      <c r="N3" s="48"/>
      <c r="O3" s="48"/>
      <c r="P3" s="48"/>
    </row>
    <row r="4" spans="1:16" ht="24.95" customHeight="1" x14ac:dyDescent="0.3">
      <c r="A4" s="121" t="s">
        <v>3</v>
      </c>
      <c r="B4" s="122"/>
      <c r="C4" s="113">
        <v>301</v>
      </c>
      <c r="D4" s="113"/>
      <c r="E4" s="113">
        <f>D21</f>
        <v>115</v>
      </c>
      <c r="F4" s="113"/>
      <c r="G4" s="43">
        <f>C4-E4</f>
        <v>186</v>
      </c>
      <c r="H4" s="48"/>
      <c r="I4" s="48"/>
      <c r="J4" s="48"/>
      <c r="K4" s="125" t="s">
        <v>107</v>
      </c>
      <c r="L4" s="126"/>
      <c r="M4" s="126"/>
      <c r="N4" s="126" t="s">
        <v>106</v>
      </c>
      <c r="O4" s="126"/>
      <c r="P4" s="154"/>
    </row>
    <row r="5" spans="1:16" ht="24.95" customHeight="1" x14ac:dyDescent="0.3">
      <c r="A5" s="123" t="s">
        <v>99</v>
      </c>
      <c r="B5" s="124"/>
      <c r="C5" s="104" t="s">
        <v>129</v>
      </c>
      <c r="D5" s="142"/>
      <c r="E5" s="142"/>
      <c r="F5" s="142"/>
      <c r="G5" s="143"/>
      <c r="H5" s="48"/>
      <c r="I5" s="48"/>
      <c r="J5" s="48"/>
      <c r="K5" s="132" t="s">
        <v>108</v>
      </c>
      <c r="L5" s="133"/>
      <c r="M5" s="133"/>
      <c r="N5" s="133" t="s">
        <v>105</v>
      </c>
      <c r="O5" s="133"/>
      <c r="P5" s="155"/>
    </row>
    <row r="6" spans="1:16" ht="24.95" customHeight="1" thickBot="1" x14ac:dyDescent="0.35">
      <c r="A6" s="123" t="s">
        <v>15</v>
      </c>
      <c r="B6" s="124"/>
      <c r="C6" s="118">
        <v>21</v>
      </c>
      <c r="D6" s="119"/>
      <c r="E6" s="44" t="s">
        <v>102</v>
      </c>
      <c r="F6" s="61"/>
      <c r="G6" s="62"/>
      <c r="H6" s="48"/>
      <c r="I6" s="48"/>
      <c r="J6" s="48"/>
      <c r="K6" s="139" t="s">
        <v>2</v>
      </c>
      <c r="L6" s="140"/>
      <c r="M6" s="140"/>
      <c r="N6" s="140" t="s">
        <v>104</v>
      </c>
      <c r="O6" s="140"/>
      <c r="P6" s="156"/>
    </row>
    <row r="7" spans="1:16" ht="24.95" customHeight="1" x14ac:dyDescent="0.3">
      <c r="A7" s="123" t="s">
        <v>100</v>
      </c>
      <c r="B7" s="124"/>
      <c r="C7" s="120">
        <v>960100</v>
      </c>
      <c r="D7" s="120"/>
      <c r="E7" s="120">
        <f>F21</f>
        <v>366815.61461794021</v>
      </c>
      <c r="F7" s="120"/>
      <c r="G7" s="45">
        <f>C7-E7</f>
        <v>593284.38538205973</v>
      </c>
      <c r="H7" s="48"/>
      <c r="I7" s="48"/>
      <c r="J7" s="48"/>
      <c r="K7" s="48"/>
      <c r="L7" s="48"/>
      <c r="M7" s="48"/>
      <c r="N7" s="48"/>
      <c r="O7" s="48"/>
      <c r="P7" s="48"/>
    </row>
    <row r="8" spans="1:16" ht="24.95" customHeight="1" thickBot="1" x14ac:dyDescent="0.35">
      <c r="A8" s="146" t="s">
        <v>101</v>
      </c>
      <c r="B8" s="147"/>
      <c r="C8" s="144">
        <f>C7/C4</f>
        <v>3189.7009966777409</v>
      </c>
      <c r="D8" s="145"/>
      <c r="E8" s="116"/>
      <c r="F8" s="116"/>
      <c r="G8" s="117"/>
      <c r="H8" s="48"/>
      <c r="I8" s="48"/>
      <c r="J8" s="48"/>
      <c r="K8" s="48"/>
      <c r="L8" s="48"/>
      <c r="M8" s="48"/>
      <c r="N8" s="48"/>
      <c r="O8" s="48"/>
      <c r="P8" s="48"/>
    </row>
    <row r="9" spans="1:16" ht="17.25" x14ac:dyDescent="0.3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</row>
    <row r="10" spans="1:16" ht="18" thickBot="1" x14ac:dyDescent="0.3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</row>
    <row r="11" spans="1:16" ht="24.95" customHeight="1" thickBot="1" x14ac:dyDescent="0.35">
      <c r="A11" s="127" t="s">
        <v>8</v>
      </c>
      <c r="B11" s="141"/>
      <c r="C11" s="128"/>
      <c r="D11" s="127" t="s">
        <v>3</v>
      </c>
      <c r="E11" s="128"/>
      <c r="F11" s="127" t="s">
        <v>10</v>
      </c>
      <c r="G11" s="128"/>
      <c r="H11" s="48"/>
      <c r="I11" s="127" t="s">
        <v>9</v>
      </c>
      <c r="J11" s="141"/>
      <c r="K11" s="127" t="s">
        <v>11</v>
      </c>
      <c r="L11" s="128"/>
      <c r="M11" s="141" t="s">
        <v>16</v>
      </c>
      <c r="N11" s="141"/>
      <c r="O11" s="128"/>
      <c r="P11" s="48"/>
    </row>
    <row r="12" spans="1:16" ht="24.95" customHeight="1" x14ac:dyDescent="0.3">
      <c r="A12" s="125" t="s">
        <v>4</v>
      </c>
      <c r="B12" s="126"/>
      <c r="C12" s="126"/>
      <c r="D12" s="113">
        <v>9</v>
      </c>
      <c r="E12" s="113"/>
      <c r="F12" s="129">
        <f>D12*C8</f>
        <v>28707.308970099668</v>
      </c>
      <c r="G12" s="130"/>
      <c r="H12" s="48"/>
      <c r="I12" s="151">
        <v>4.3999999999999997E-2</v>
      </c>
      <c r="J12" s="113"/>
      <c r="K12" s="129">
        <f>I12*G7</f>
        <v>26104.512956810628</v>
      </c>
      <c r="L12" s="129"/>
      <c r="M12" s="148">
        <f>F12+K12</f>
        <v>54811.821926910299</v>
      </c>
      <c r="N12" s="148"/>
      <c r="O12" s="149"/>
      <c r="P12" s="48"/>
    </row>
    <row r="13" spans="1:16" ht="24.95" customHeight="1" x14ac:dyDescent="0.3">
      <c r="A13" s="132" t="s">
        <v>128</v>
      </c>
      <c r="B13" s="133"/>
      <c r="C13" s="133"/>
      <c r="D13" s="131">
        <v>9</v>
      </c>
      <c r="E13" s="131"/>
      <c r="F13" s="134">
        <f>D13*C8</f>
        <v>28707.308970099668</v>
      </c>
      <c r="G13" s="135"/>
      <c r="H13" s="48"/>
      <c r="I13" s="150">
        <v>8.9999999999999993E-3</v>
      </c>
      <c r="J13" s="131"/>
      <c r="K13" s="134">
        <f>I13*G7</f>
        <v>5339.5594684385369</v>
      </c>
      <c r="L13" s="134"/>
      <c r="M13" s="134">
        <f t="shared" ref="M13:M21" si="0">F13+K13</f>
        <v>34046.868438538208</v>
      </c>
      <c r="N13" s="134"/>
      <c r="O13" s="135"/>
      <c r="P13" s="48"/>
    </row>
    <row r="14" spans="1:16" ht="24.95" customHeight="1" x14ac:dyDescent="0.3">
      <c r="A14" s="132" t="s">
        <v>6</v>
      </c>
      <c r="B14" s="133"/>
      <c r="C14" s="133"/>
      <c r="D14" s="131">
        <v>45</v>
      </c>
      <c r="E14" s="131"/>
      <c r="F14" s="134">
        <f>D14*C8</f>
        <v>143536.54485049835</v>
      </c>
      <c r="G14" s="135"/>
      <c r="H14" s="48"/>
      <c r="I14" s="150">
        <v>3.1E-2</v>
      </c>
      <c r="J14" s="131"/>
      <c r="K14" s="134">
        <f>I14*G7</f>
        <v>18391.81594684385</v>
      </c>
      <c r="L14" s="134"/>
      <c r="M14" s="134">
        <f t="shared" si="0"/>
        <v>161928.3607973422</v>
      </c>
      <c r="N14" s="134"/>
      <c r="O14" s="135"/>
      <c r="P14" s="48"/>
    </row>
    <row r="15" spans="1:16" ht="24.95" customHeight="1" x14ac:dyDescent="0.3">
      <c r="A15" s="132" t="s">
        <v>7</v>
      </c>
      <c r="B15" s="133"/>
      <c r="C15" s="133"/>
      <c r="D15" s="131">
        <v>3</v>
      </c>
      <c r="E15" s="131"/>
      <c r="F15" s="134">
        <f>D15*C8</f>
        <v>9569.1029900332233</v>
      </c>
      <c r="G15" s="135"/>
      <c r="H15" s="48"/>
      <c r="I15" s="150">
        <v>0.20699999999999999</v>
      </c>
      <c r="J15" s="131"/>
      <c r="K15" s="134">
        <f>I15*G7</f>
        <v>122809.86777408636</v>
      </c>
      <c r="L15" s="134"/>
      <c r="M15" s="134">
        <f t="shared" si="0"/>
        <v>132378.97076411959</v>
      </c>
      <c r="N15" s="134"/>
      <c r="O15" s="135"/>
      <c r="P15" s="48"/>
    </row>
    <row r="16" spans="1:16" ht="24.95" customHeight="1" x14ac:dyDescent="0.3">
      <c r="A16" s="132" t="s">
        <v>53</v>
      </c>
      <c r="B16" s="133"/>
      <c r="C16" s="133"/>
      <c r="D16" s="131">
        <v>11</v>
      </c>
      <c r="E16" s="131"/>
      <c r="F16" s="134">
        <f>D16*C8</f>
        <v>35086.710963455153</v>
      </c>
      <c r="G16" s="135"/>
      <c r="H16" s="48"/>
      <c r="I16" s="150">
        <v>6.2E-2</v>
      </c>
      <c r="J16" s="131"/>
      <c r="K16" s="134">
        <f>I16*G7</f>
        <v>36783.6318936877</v>
      </c>
      <c r="L16" s="134"/>
      <c r="M16" s="134">
        <f t="shared" si="0"/>
        <v>71870.342857142852</v>
      </c>
      <c r="N16" s="134"/>
      <c r="O16" s="135"/>
      <c r="P16" s="48"/>
    </row>
    <row r="17" spans="1:16" ht="24.95" customHeight="1" x14ac:dyDescent="0.3">
      <c r="A17" s="132" t="s">
        <v>115</v>
      </c>
      <c r="B17" s="133"/>
      <c r="C17" s="133"/>
      <c r="D17" s="131">
        <v>6</v>
      </c>
      <c r="E17" s="131"/>
      <c r="F17" s="134">
        <f>D17*C8</f>
        <v>19138.205980066447</v>
      </c>
      <c r="G17" s="135"/>
      <c r="H17" s="48"/>
      <c r="I17" s="150">
        <v>0.20699999999999999</v>
      </c>
      <c r="J17" s="131"/>
      <c r="K17" s="134">
        <f>I17*G7</f>
        <v>122809.86777408636</v>
      </c>
      <c r="L17" s="134"/>
      <c r="M17" s="134">
        <f t="shared" si="0"/>
        <v>141948.07375415281</v>
      </c>
      <c r="N17" s="134"/>
      <c r="O17" s="135"/>
      <c r="P17" s="48"/>
    </row>
    <row r="18" spans="1:16" ht="24.95" customHeight="1" x14ac:dyDescent="0.3">
      <c r="A18" s="132" t="s">
        <v>114</v>
      </c>
      <c r="B18" s="133"/>
      <c r="C18" s="133"/>
      <c r="D18" s="131">
        <v>0</v>
      </c>
      <c r="E18" s="131"/>
      <c r="F18" s="134">
        <f>D18*C8</f>
        <v>0</v>
      </c>
      <c r="G18" s="135"/>
      <c r="H18" s="48"/>
      <c r="I18" s="150">
        <v>0.20699999999999999</v>
      </c>
      <c r="J18" s="131"/>
      <c r="K18" s="134">
        <f>I18*G7</f>
        <v>122809.86777408636</v>
      </c>
      <c r="L18" s="134"/>
      <c r="M18" s="134">
        <f t="shared" si="0"/>
        <v>122809.86777408636</v>
      </c>
      <c r="N18" s="134"/>
      <c r="O18" s="135"/>
      <c r="P18" s="48"/>
    </row>
    <row r="19" spans="1:16" ht="24.95" customHeight="1" x14ac:dyDescent="0.3">
      <c r="A19" s="132" t="s">
        <v>120</v>
      </c>
      <c r="B19" s="133"/>
      <c r="C19" s="133"/>
      <c r="D19" s="131">
        <v>32</v>
      </c>
      <c r="E19" s="131"/>
      <c r="F19" s="134">
        <f>D19*C8</f>
        <v>102070.43189368771</v>
      </c>
      <c r="G19" s="135"/>
      <c r="H19" s="48"/>
      <c r="I19" s="150">
        <v>0.20699999999999999</v>
      </c>
      <c r="J19" s="131"/>
      <c r="K19" s="134">
        <f>I19*G7</f>
        <v>122809.86777408636</v>
      </c>
      <c r="L19" s="134"/>
      <c r="M19" s="134">
        <f t="shared" si="0"/>
        <v>224880.29966777406</v>
      </c>
      <c r="N19" s="134"/>
      <c r="O19" s="135"/>
      <c r="P19" s="48"/>
    </row>
    <row r="20" spans="1:16" ht="24.95" customHeight="1" x14ac:dyDescent="0.3">
      <c r="A20" s="132" t="s">
        <v>58</v>
      </c>
      <c r="B20" s="133"/>
      <c r="C20" s="133"/>
      <c r="D20" s="131">
        <v>0</v>
      </c>
      <c r="E20" s="131"/>
      <c r="F20" s="134">
        <f>D20*C8</f>
        <v>0</v>
      </c>
      <c r="G20" s="135"/>
      <c r="H20" s="48"/>
      <c r="I20" s="150">
        <v>2.5999999999999999E-2</v>
      </c>
      <c r="J20" s="131"/>
      <c r="K20" s="134">
        <f>I20*G7</f>
        <v>15425.394019933552</v>
      </c>
      <c r="L20" s="134"/>
      <c r="M20" s="134">
        <f t="shared" si="0"/>
        <v>15425.394019933552</v>
      </c>
      <c r="N20" s="134"/>
      <c r="O20" s="135"/>
      <c r="P20" s="48"/>
    </row>
    <row r="21" spans="1:16" ht="24.95" customHeight="1" thickBot="1" x14ac:dyDescent="0.35">
      <c r="A21" s="139" t="s">
        <v>23</v>
      </c>
      <c r="B21" s="140"/>
      <c r="C21" s="140"/>
      <c r="D21" s="138">
        <f>SUM(D12:D20)</f>
        <v>115</v>
      </c>
      <c r="E21" s="138"/>
      <c r="F21" s="136">
        <f>SUM(F12:F20)</f>
        <v>366815.61461794021</v>
      </c>
      <c r="G21" s="137"/>
      <c r="H21" s="48"/>
      <c r="I21" s="152">
        <f>SUM(I12:I20)</f>
        <v>0.99999999999999989</v>
      </c>
      <c r="J21" s="138"/>
      <c r="K21" s="136">
        <f>SUM(K12:K20)</f>
        <v>593284.38538205973</v>
      </c>
      <c r="L21" s="136"/>
      <c r="M21" s="136">
        <f t="shared" si="0"/>
        <v>960100</v>
      </c>
      <c r="N21" s="136"/>
      <c r="O21" s="153"/>
      <c r="P21" s="48"/>
    </row>
    <row r="22" spans="1:16" x14ac:dyDescent="0.3">
      <c r="A22" s="84"/>
      <c r="B22" s="84"/>
      <c r="C22" s="84"/>
      <c r="D22" s="84"/>
      <c r="E22" s="84"/>
      <c r="F22" s="84"/>
      <c r="G22" s="84"/>
    </row>
    <row r="23" spans="1:16" x14ac:dyDescent="0.3">
      <c r="A23" s="84"/>
      <c r="B23" s="84"/>
      <c r="C23" s="84"/>
      <c r="D23" s="84"/>
      <c r="E23" s="84"/>
    </row>
  </sheetData>
  <mergeCells count="95">
    <mergeCell ref="I21:J21"/>
    <mergeCell ref="K21:L21"/>
    <mergeCell ref="M21:O21"/>
    <mergeCell ref="A1:P1"/>
    <mergeCell ref="N4:P4"/>
    <mergeCell ref="N5:P5"/>
    <mergeCell ref="N6:P6"/>
    <mergeCell ref="K4:M4"/>
    <mergeCell ref="K5:M5"/>
    <mergeCell ref="K6:M6"/>
    <mergeCell ref="I19:J19"/>
    <mergeCell ref="K19:L19"/>
    <mergeCell ref="M19:O19"/>
    <mergeCell ref="I20:J20"/>
    <mergeCell ref="K20:L20"/>
    <mergeCell ref="M20:O20"/>
    <mergeCell ref="I17:J17"/>
    <mergeCell ref="K17:L17"/>
    <mergeCell ref="M17:O17"/>
    <mergeCell ref="I18:J18"/>
    <mergeCell ref="K18:L18"/>
    <mergeCell ref="M18:O18"/>
    <mergeCell ref="I15:J15"/>
    <mergeCell ref="K15:L15"/>
    <mergeCell ref="M15:O15"/>
    <mergeCell ref="I16:J16"/>
    <mergeCell ref="K16:L16"/>
    <mergeCell ref="M16:O16"/>
    <mergeCell ref="M12:O12"/>
    <mergeCell ref="I13:J13"/>
    <mergeCell ref="K13:L13"/>
    <mergeCell ref="M13:O13"/>
    <mergeCell ref="I14:J14"/>
    <mergeCell ref="K14:L14"/>
    <mergeCell ref="M14:O14"/>
    <mergeCell ref="I12:J12"/>
    <mergeCell ref="K12:L12"/>
    <mergeCell ref="I11:J11"/>
    <mergeCell ref="C5:G5"/>
    <mergeCell ref="F6:G6"/>
    <mergeCell ref="K11:L11"/>
    <mergeCell ref="M11:O11"/>
    <mergeCell ref="C8:D8"/>
    <mergeCell ref="A11:C11"/>
    <mergeCell ref="A8:B8"/>
    <mergeCell ref="F19:G19"/>
    <mergeCell ref="F20:G20"/>
    <mergeCell ref="F21:G21"/>
    <mergeCell ref="F22:G22"/>
    <mergeCell ref="A15:C15"/>
    <mergeCell ref="D15:E15"/>
    <mergeCell ref="F15:G15"/>
    <mergeCell ref="D20:E20"/>
    <mergeCell ref="D21:E21"/>
    <mergeCell ref="D22:E22"/>
    <mergeCell ref="A20:C20"/>
    <mergeCell ref="A21:C21"/>
    <mergeCell ref="A22:C22"/>
    <mergeCell ref="F13:G13"/>
    <mergeCell ref="F14:G14"/>
    <mergeCell ref="F16:G16"/>
    <mergeCell ref="F17:G17"/>
    <mergeCell ref="F18:G18"/>
    <mergeCell ref="A23:C23"/>
    <mergeCell ref="D13:E13"/>
    <mergeCell ref="D14:E14"/>
    <mergeCell ref="D16:E16"/>
    <mergeCell ref="D17:E17"/>
    <mergeCell ref="D18:E18"/>
    <mergeCell ref="D19:E19"/>
    <mergeCell ref="A13:C13"/>
    <mergeCell ref="A14:C14"/>
    <mergeCell ref="A16:C16"/>
    <mergeCell ref="A17:C17"/>
    <mergeCell ref="A18:C18"/>
    <mergeCell ref="A19:C19"/>
    <mergeCell ref="D23:E23"/>
    <mergeCell ref="A12:C12"/>
    <mergeCell ref="D11:E11"/>
    <mergeCell ref="F11:G11"/>
    <mergeCell ref="D12:E12"/>
    <mergeCell ref="F12:G12"/>
    <mergeCell ref="C4:D4"/>
    <mergeCell ref="C3:D3"/>
    <mergeCell ref="E3:F3"/>
    <mergeCell ref="A3:B3"/>
    <mergeCell ref="E8:G8"/>
    <mergeCell ref="E4:F4"/>
    <mergeCell ref="C6:D6"/>
    <mergeCell ref="C7:D7"/>
    <mergeCell ref="E7:F7"/>
    <mergeCell ref="A4:B4"/>
    <mergeCell ref="A5:B5"/>
    <mergeCell ref="A6:B6"/>
    <mergeCell ref="A7:B7"/>
  </mergeCells>
  <phoneticPr fontId="1" type="noConversion"/>
  <pageMargins left="0.7" right="0.7" top="0.75" bottom="0.75" header="0.3" footer="0.3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F353-C91F-4203-8E31-142051398FAE}">
  <sheetPr>
    <tabColor rgb="FFFFC000"/>
  </sheetPr>
  <dimension ref="A1:O19"/>
  <sheetViews>
    <sheetView zoomScaleNormal="100" workbookViewId="0">
      <selection activeCell="G5" sqref="G5"/>
    </sheetView>
  </sheetViews>
  <sheetFormatPr defaultRowHeight="16.5" x14ac:dyDescent="0.3"/>
  <cols>
    <col min="7" max="7" width="11.875" customWidth="1"/>
    <col min="8" max="8" width="1" customWidth="1"/>
  </cols>
  <sheetData>
    <row r="1" spans="1:15" ht="54" customHeight="1" x14ac:dyDescent="0.3">
      <c r="A1" s="66" t="s">
        <v>132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50" t="s">
        <v>15</v>
      </c>
      <c r="O1" s="31" t="s">
        <v>111</v>
      </c>
    </row>
    <row r="2" spans="1:15" ht="17.25" thickBot="1" x14ac:dyDescent="0.35"/>
    <row r="3" spans="1:15" ht="31.5" customHeight="1" x14ac:dyDescent="0.3">
      <c r="A3" s="48"/>
      <c r="B3" s="121" t="s">
        <v>110</v>
      </c>
      <c r="C3" s="122"/>
      <c r="D3" s="122" t="s">
        <v>119</v>
      </c>
      <c r="E3" s="122"/>
      <c r="F3" s="195"/>
      <c r="G3" s="48"/>
      <c r="H3" s="48"/>
      <c r="I3" s="121" t="s">
        <v>34</v>
      </c>
      <c r="J3" s="122"/>
      <c r="K3" s="186" t="s">
        <v>32</v>
      </c>
      <c r="L3" s="187"/>
      <c r="M3" s="186" t="s">
        <v>14</v>
      </c>
      <c r="N3" s="190"/>
      <c r="O3" s="191"/>
    </row>
    <row r="4" spans="1:15" ht="32.25" customHeight="1" thickBot="1" x14ac:dyDescent="0.35">
      <c r="A4" s="48"/>
      <c r="B4" s="184">
        <v>203280</v>
      </c>
      <c r="C4" s="185"/>
      <c r="D4" s="185">
        <v>562270</v>
      </c>
      <c r="E4" s="185"/>
      <c r="F4" s="196"/>
      <c r="G4" s="48"/>
      <c r="H4" s="48"/>
      <c r="I4" s="184">
        <v>18790</v>
      </c>
      <c r="J4" s="185"/>
      <c r="K4" s="188">
        <f>SUM(B4,D4,I4)</f>
        <v>784340</v>
      </c>
      <c r="L4" s="189"/>
      <c r="M4" s="192" t="s">
        <v>133</v>
      </c>
      <c r="N4" s="193"/>
      <c r="O4" s="194"/>
    </row>
    <row r="5" spans="1:15" ht="17.25" x14ac:dyDescent="0.3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</row>
    <row r="6" spans="1:15" ht="18" thickBot="1" x14ac:dyDescent="0.35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35.1" customHeight="1" thickBot="1" x14ac:dyDescent="0.35">
      <c r="A7" s="127" t="s">
        <v>8</v>
      </c>
      <c r="B7" s="141"/>
      <c r="C7" s="128"/>
      <c r="D7" s="127" t="s">
        <v>42</v>
      </c>
      <c r="E7" s="128"/>
      <c r="F7" s="127" t="s">
        <v>33</v>
      </c>
      <c r="G7" s="128"/>
      <c r="H7" s="48"/>
      <c r="I7" s="127" t="s">
        <v>34</v>
      </c>
      <c r="J7" s="141"/>
      <c r="K7" s="127" t="s">
        <v>109</v>
      </c>
      <c r="L7" s="128"/>
      <c r="M7" s="141" t="s">
        <v>16</v>
      </c>
      <c r="N7" s="141"/>
      <c r="O7" s="128"/>
    </row>
    <row r="8" spans="1:15" ht="30" customHeight="1" x14ac:dyDescent="0.3">
      <c r="A8" s="125" t="s">
        <v>4</v>
      </c>
      <c r="B8" s="126"/>
      <c r="C8" s="126"/>
      <c r="D8" s="157">
        <f>B4*K8</f>
        <v>8944.32</v>
      </c>
      <c r="E8" s="157"/>
      <c r="F8" s="129">
        <f>D4*K8</f>
        <v>24739.879999999997</v>
      </c>
      <c r="G8" s="130"/>
      <c r="H8" s="48"/>
      <c r="I8" s="158">
        <f>I4*K8</f>
        <v>826.76</v>
      </c>
      <c r="J8" s="129"/>
      <c r="K8" s="159">
        <v>4.3999999999999997E-2</v>
      </c>
      <c r="L8" s="159"/>
      <c r="M8" s="129">
        <f>SUM(D8,F8,I8)</f>
        <v>34510.959999999999</v>
      </c>
      <c r="N8" s="129"/>
      <c r="O8" s="130"/>
    </row>
    <row r="9" spans="1:15" ht="30" customHeight="1" x14ac:dyDescent="0.3">
      <c r="A9" s="132" t="s">
        <v>128</v>
      </c>
      <c r="B9" s="133"/>
      <c r="C9" s="133"/>
      <c r="D9" s="160">
        <f>B4*K9</f>
        <v>1829.5199999999998</v>
      </c>
      <c r="E9" s="161"/>
      <c r="F9" s="162">
        <f>D4*K9</f>
        <v>5060.4299999999994</v>
      </c>
      <c r="G9" s="163"/>
      <c r="H9" s="48"/>
      <c r="I9" s="164">
        <f>I4*K9</f>
        <v>169.10999999999999</v>
      </c>
      <c r="J9" s="134"/>
      <c r="K9" s="165">
        <v>8.9999999999999993E-3</v>
      </c>
      <c r="L9" s="165"/>
      <c r="M9" s="134">
        <f t="shared" ref="M9:M16" si="0">SUM(D9,F9,I9)</f>
        <v>7059.0599999999986</v>
      </c>
      <c r="N9" s="134"/>
      <c r="O9" s="135"/>
    </row>
    <row r="10" spans="1:15" ht="30" customHeight="1" x14ac:dyDescent="0.3">
      <c r="A10" s="132" t="s">
        <v>6</v>
      </c>
      <c r="B10" s="133"/>
      <c r="C10" s="133"/>
      <c r="D10" s="160">
        <f>B4*K10</f>
        <v>6301.68</v>
      </c>
      <c r="E10" s="161"/>
      <c r="F10" s="162">
        <f>D4*K10</f>
        <v>17430.37</v>
      </c>
      <c r="G10" s="163"/>
      <c r="H10" s="48"/>
      <c r="I10" s="164">
        <f>I4*K10</f>
        <v>582.49</v>
      </c>
      <c r="J10" s="134"/>
      <c r="K10" s="165">
        <v>3.1E-2</v>
      </c>
      <c r="L10" s="165"/>
      <c r="M10" s="134">
        <f t="shared" si="0"/>
        <v>24314.54</v>
      </c>
      <c r="N10" s="134"/>
      <c r="O10" s="135"/>
    </row>
    <row r="11" spans="1:15" ht="30" customHeight="1" x14ac:dyDescent="0.3">
      <c r="A11" s="132" t="s">
        <v>7</v>
      </c>
      <c r="B11" s="133"/>
      <c r="C11" s="133"/>
      <c r="D11" s="160">
        <f>B4*K11</f>
        <v>42078.96</v>
      </c>
      <c r="E11" s="161"/>
      <c r="F11" s="162">
        <f>D4*K11</f>
        <v>116389.89</v>
      </c>
      <c r="G11" s="163"/>
      <c r="H11" s="48"/>
      <c r="I11" s="164">
        <f>I4*K11</f>
        <v>3889.5299999999997</v>
      </c>
      <c r="J11" s="134"/>
      <c r="K11" s="165">
        <v>0.20699999999999999</v>
      </c>
      <c r="L11" s="165"/>
      <c r="M11" s="134">
        <f t="shared" si="0"/>
        <v>162358.38</v>
      </c>
      <c r="N11" s="134"/>
      <c r="O11" s="135"/>
    </row>
    <row r="12" spans="1:15" ht="30" customHeight="1" x14ac:dyDescent="0.3">
      <c r="A12" s="132" t="s">
        <v>53</v>
      </c>
      <c r="B12" s="133"/>
      <c r="C12" s="133"/>
      <c r="D12" s="160">
        <f>B4*K12</f>
        <v>12603.36</v>
      </c>
      <c r="E12" s="161"/>
      <c r="F12" s="162">
        <f>D4*K12</f>
        <v>34860.74</v>
      </c>
      <c r="G12" s="163"/>
      <c r="H12" s="48"/>
      <c r="I12" s="164">
        <f>I4*K12</f>
        <v>1164.98</v>
      </c>
      <c r="J12" s="134"/>
      <c r="K12" s="165">
        <v>6.2E-2</v>
      </c>
      <c r="L12" s="165"/>
      <c r="M12" s="134">
        <f t="shared" si="0"/>
        <v>48629.08</v>
      </c>
      <c r="N12" s="134"/>
      <c r="O12" s="135"/>
    </row>
    <row r="13" spans="1:15" ht="30" customHeight="1" x14ac:dyDescent="0.3">
      <c r="A13" s="132" t="s">
        <v>115</v>
      </c>
      <c r="B13" s="133"/>
      <c r="C13" s="133"/>
      <c r="D13" s="160">
        <f>B4*K13</f>
        <v>42078.96</v>
      </c>
      <c r="E13" s="161"/>
      <c r="F13" s="162">
        <f>D4*K13</f>
        <v>116389.89</v>
      </c>
      <c r="G13" s="163"/>
      <c r="H13" s="48"/>
      <c r="I13" s="164">
        <f>I4*K13</f>
        <v>3889.5299999999997</v>
      </c>
      <c r="J13" s="134"/>
      <c r="K13" s="165">
        <v>0.20699999999999999</v>
      </c>
      <c r="L13" s="165"/>
      <c r="M13" s="134">
        <f t="shared" si="0"/>
        <v>162358.38</v>
      </c>
      <c r="N13" s="134"/>
      <c r="O13" s="135"/>
    </row>
    <row r="14" spans="1:15" ht="30" customHeight="1" x14ac:dyDescent="0.3">
      <c r="A14" s="132" t="s">
        <v>114</v>
      </c>
      <c r="B14" s="133"/>
      <c r="C14" s="133"/>
      <c r="D14" s="160">
        <f>B4*K14</f>
        <v>42078.96</v>
      </c>
      <c r="E14" s="161"/>
      <c r="F14" s="162">
        <f>D4*K14</f>
        <v>116389.89</v>
      </c>
      <c r="G14" s="163"/>
      <c r="H14" s="48"/>
      <c r="I14" s="164">
        <f>I4*K14</f>
        <v>3889.5299999999997</v>
      </c>
      <c r="J14" s="134"/>
      <c r="K14" s="165">
        <v>0.20699999999999999</v>
      </c>
      <c r="L14" s="165"/>
      <c r="M14" s="134">
        <f t="shared" si="0"/>
        <v>162358.38</v>
      </c>
      <c r="N14" s="134"/>
      <c r="O14" s="135"/>
    </row>
    <row r="15" spans="1:15" ht="30" customHeight="1" x14ac:dyDescent="0.3">
      <c r="A15" s="132" t="s">
        <v>120</v>
      </c>
      <c r="B15" s="133"/>
      <c r="C15" s="133"/>
      <c r="D15" s="160">
        <f>B4*K15</f>
        <v>42078.96</v>
      </c>
      <c r="E15" s="161"/>
      <c r="F15" s="162">
        <f>D4*K15</f>
        <v>116389.89</v>
      </c>
      <c r="G15" s="163"/>
      <c r="H15" s="48"/>
      <c r="I15" s="164">
        <f>I4*K15</f>
        <v>3889.5299999999997</v>
      </c>
      <c r="J15" s="134"/>
      <c r="K15" s="165">
        <v>0.20699999999999999</v>
      </c>
      <c r="L15" s="165"/>
      <c r="M15" s="134">
        <f t="shared" si="0"/>
        <v>162358.38</v>
      </c>
      <c r="N15" s="134"/>
      <c r="O15" s="135"/>
    </row>
    <row r="16" spans="1:15" ht="30" customHeight="1" thickBot="1" x14ac:dyDescent="0.35">
      <c r="A16" s="168" t="s">
        <v>58</v>
      </c>
      <c r="B16" s="169"/>
      <c r="C16" s="169"/>
      <c r="D16" s="170">
        <f>B4*K16</f>
        <v>5285.28</v>
      </c>
      <c r="E16" s="171"/>
      <c r="F16" s="172">
        <f>D4*K16</f>
        <v>14619.019999999999</v>
      </c>
      <c r="G16" s="173"/>
      <c r="H16" s="48"/>
      <c r="I16" s="174">
        <f>I4*K16</f>
        <v>488.53999999999996</v>
      </c>
      <c r="J16" s="175"/>
      <c r="K16" s="176">
        <v>2.5999999999999999E-2</v>
      </c>
      <c r="L16" s="176"/>
      <c r="M16" s="175">
        <f t="shared" si="0"/>
        <v>20392.84</v>
      </c>
      <c r="N16" s="175"/>
      <c r="O16" s="177"/>
    </row>
    <row r="17" spans="1:15" ht="30" customHeight="1" thickBot="1" x14ac:dyDescent="0.35">
      <c r="A17" s="178" t="s">
        <v>23</v>
      </c>
      <c r="B17" s="179"/>
      <c r="C17" s="179"/>
      <c r="D17" s="180">
        <f>SUM(D8:D16)</f>
        <v>203279.99999999997</v>
      </c>
      <c r="E17" s="181"/>
      <c r="F17" s="166">
        <f>SUM(F8:F16)</f>
        <v>562270</v>
      </c>
      <c r="G17" s="182"/>
      <c r="H17" s="48"/>
      <c r="I17" s="183">
        <f>SUM(I8:I16)</f>
        <v>18789.999999999996</v>
      </c>
      <c r="J17" s="181"/>
      <c r="K17" s="166">
        <f>SUM(K8:K16)</f>
        <v>0.99999999999999989</v>
      </c>
      <c r="L17" s="166"/>
      <c r="M17" s="166">
        <f>SUM(M8:M16)</f>
        <v>784340</v>
      </c>
      <c r="N17" s="166"/>
      <c r="O17" s="167"/>
    </row>
    <row r="18" spans="1:15" x14ac:dyDescent="0.3">
      <c r="A18" s="84"/>
      <c r="B18" s="84"/>
      <c r="C18" s="84"/>
      <c r="D18" s="84"/>
      <c r="E18" s="84"/>
      <c r="F18" s="84"/>
      <c r="G18" s="84"/>
    </row>
    <row r="19" spans="1:15" x14ac:dyDescent="0.3">
      <c r="A19" s="84"/>
      <c r="B19" s="84"/>
      <c r="C19" s="84"/>
      <c r="D19" s="84"/>
      <c r="E19" s="84"/>
    </row>
  </sheetData>
  <mergeCells count="82">
    <mergeCell ref="A1:M1"/>
    <mergeCell ref="I3:J3"/>
    <mergeCell ref="I4:J4"/>
    <mergeCell ref="K3:L3"/>
    <mergeCell ref="K4:L4"/>
    <mergeCell ref="M3:O3"/>
    <mergeCell ref="M4:O4"/>
    <mergeCell ref="B3:C3"/>
    <mergeCell ref="D3:F3"/>
    <mergeCell ref="B4:C4"/>
    <mergeCell ref="D4:F4"/>
    <mergeCell ref="A18:C18"/>
    <mergeCell ref="D18:E18"/>
    <mergeCell ref="F18:G18"/>
    <mergeCell ref="A19:C19"/>
    <mergeCell ref="D19:E19"/>
    <mergeCell ref="M17:O17"/>
    <mergeCell ref="A16:C16"/>
    <mergeCell ref="D16:E16"/>
    <mergeCell ref="F16:G16"/>
    <mergeCell ref="I16:J16"/>
    <mergeCell ref="K16:L16"/>
    <mergeCell ref="M16:O16"/>
    <mergeCell ref="A17:C17"/>
    <mergeCell ref="D17:E17"/>
    <mergeCell ref="F17:G17"/>
    <mergeCell ref="I17:J17"/>
    <mergeCell ref="K17:L17"/>
    <mergeCell ref="M15:O15"/>
    <mergeCell ref="A14:C14"/>
    <mergeCell ref="D14:E14"/>
    <mergeCell ref="F14:G14"/>
    <mergeCell ref="I14:J14"/>
    <mergeCell ref="K14:L14"/>
    <mergeCell ref="M14:O14"/>
    <mergeCell ref="A15:C15"/>
    <mergeCell ref="D15:E15"/>
    <mergeCell ref="F15:G15"/>
    <mergeCell ref="I15:J15"/>
    <mergeCell ref="K15:L15"/>
    <mergeCell ref="M13:O13"/>
    <mergeCell ref="A12:C12"/>
    <mergeCell ref="D12:E12"/>
    <mergeCell ref="F12:G12"/>
    <mergeCell ref="I12:J12"/>
    <mergeCell ref="K12:L12"/>
    <mergeCell ref="M12:O12"/>
    <mergeCell ref="A13:C13"/>
    <mergeCell ref="D13:E13"/>
    <mergeCell ref="F13:G13"/>
    <mergeCell ref="I13:J13"/>
    <mergeCell ref="K13:L13"/>
    <mergeCell ref="M11:O11"/>
    <mergeCell ref="A10:C10"/>
    <mergeCell ref="D10:E10"/>
    <mergeCell ref="F10:G10"/>
    <mergeCell ref="I10:J10"/>
    <mergeCell ref="K10:L10"/>
    <mergeCell ref="M10:O10"/>
    <mergeCell ref="A11:C11"/>
    <mergeCell ref="D11:E11"/>
    <mergeCell ref="F11:G11"/>
    <mergeCell ref="I11:J11"/>
    <mergeCell ref="K11:L11"/>
    <mergeCell ref="M9:O9"/>
    <mergeCell ref="A8:C8"/>
    <mergeCell ref="D8:E8"/>
    <mergeCell ref="F8:G8"/>
    <mergeCell ref="I8:J8"/>
    <mergeCell ref="K8:L8"/>
    <mergeCell ref="M8:O8"/>
    <mergeCell ref="A9:C9"/>
    <mergeCell ref="D9:E9"/>
    <mergeCell ref="F9:G9"/>
    <mergeCell ref="I9:J9"/>
    <mergeCell ref="K9:L9"/>
    <mergeCell ref="M7:O7"/>
    <mergeCell ref="A7:C7"/>
    <mergeCell ref="D7:E7"/>
    <mergeCell ref="F7:G7"/>
    <mergeCell ref="I7:J7"/>
    <mergeCell ref="K7:L7"/>
  </mergeCells>
  <phoneticPr fontId="1" type="noConversion"/>
  <pageMargins left="0.7" right="0.7" top="0.75" bottom="0.75" header="0.3" footer="0.3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52"/>
  <sheetViews>
    <sheetView topLeftCell="A22" zoomScaleNormal="100" zoomScaleSheetLayoutView="100" workbookViewId="0">
      <selection activeCell="A25" sqref="A25:G25"/>
    </sheetView>
  </sheetViews>
  <sheetFormatPr defaultRowHeight="16.5" x14ac:dyDescent="0.3"/>
  <cols>
    <col min="1" max="1" width="13" bestFit="1" customWidth="1"/>
    <col min="2" max="2" width="9.25" bestFit="1" customWidth="1"/>
    <col min="3" max="3" width="13" customWidth="1"/>
    <col min="4" max="4" width="8.375" customWidth="1"/>
    <col min="5" max="5" width="0.75" customWidth="1"/>
    <col min="6" max="6" width="10.875" customWidth="1"/>
    <col min="7" max="7" width="12.125" customWidth="1"/>
    <col min="8" max="8" width="14.875" customWidth="1"/>
    <col min="10" max="10" width="10.75" customWidth="1"/>
  </cols>
  <sheetData>
    <row r="1" spans="1:8" ht="51" customHeight="1" x14ac:dyDescent="0.3">
      <c r="A1" s="199" t="s">
        <v>134</v>
      </c>
      <c r="B1" s="84"/>
      <c r="C1" s="84"/>
      <c r="D1" s="84"/>
      <c r="E1" s="84"/>
      <c r="F1" s="84"/>
      <c r="G1" s="84"/>
    </row>
    <row r="2" spans="1:8" x14ac:dyDescent="0.3">
      <c r="A2" s="2"/>
      <c r="B2" s="2"/>
      <c r="C2" s="2" t="s">
        <v>12</v>
      </c>
      <c r="D2" s="2" t="s">
        <v>13</v>
      </c>
    </row>
    <row r="3" spans="1:8" x14ac:dyDescent="0.3">
      <c r="A3" s="15" t="s">
        <v>0</v>
      </c>
      <c r="B3" s="15">
        <f>수도비용!C4</f>
        <v>301</v>
      </c>
      <c r="C3" s="15">
        <f>수도비용!E4</f>
        <v>115</v>
      </c>
      <c r="D3" s="15">
        <f>B3-C3</f>
        <v>186</v>
      </c>
    </row>
    <row r="4" spans="1:8" x14ac:dyDescent="0.3">
      <c r="A4" s="1" t="s">
        <v>14</v>
      </c>
      <c r="B4" s="200" t="s">
        <v>135</v>
      </c>
      <c r="C4" s="200"/>
      <c r="D4" s="1"/>
    </row>
    <row r="5" spans="1:8" x14ac:dyDescent="0.3">
      <c r="A5" s="1" t="s">
        <v>15</v>
      </c>
      <c r="B5" s="2">
        <f>수도비용!C6</f>
        <v>21</v>
      </c>
      <c r="C5" s="197"/>
      <c r="D5" s="198"/>
    </row>
    <row r="6" spans="1:8" x14ac:dyDescent="0.3">
      <c r="A6" s="18" t="s">
        <v>1</v>
      </c>
      <c r="B6" s="19">
        <f>수도비용!C7</f>
        <v>960100</v>
      </c>
      <c r="C6" s="19">
        <f>수도비용!E7</f>
        <v>366815.61461794021</v>
      </c>
      <c r="D6" s="19">
        <f>B6-C6</f>
        <v>593284.38538205973</v>
      </c>
    </row>
    <row r="7" spans="1:8" x14ac:dyDescent="0.3">
      <c r="A7" s="16" t="s">
        <v>2</v>
      </c>
      <c r="B7" s="17">
        <f>B6/B3</f>
        <v>3189.7009966777409</v>
      </c>
    </row>
    <row r="9" spans="1:8" x14ac:dyDescent="0.3">
      <c r="A9" s="4" t="s">
        <v>8</v>
      </c>
      <c r="B9" s="4" t="s">
        <v>3</v>
      </c>
      <c r="C9" s="4" t="s">
        <v>10</v>
      </c>
      <c r="D9" s="84"/>
      <c r="E9" s="84"/>
      <c r="F9" s="4" t="s">
        <v>9</v>
      </c>
      <c r="G9" s="4" t="s">
        <v>11</v>
      </c>
      <c r="H9" s="4" t="s">
        <v>16</v>
      </c>
    </row>
    <row r="10" spans="1:8" x14ac:dyDescent="0.3">
      <c r="A10" s="1" t="s">
        <v>4</v>
      </c>
      <c r="B10" s="1">
        <f>수도비용!D12</f>
        <v>9</v>
      </c>
      <c r="C10" s="3">
        <f>수도비용!F12</f>
        <v>28707.308970099668</v>
      </c>
      <c r="F10" s="1">
        <f>수도비용!I12</f>
        <v>4.3999999999999997E-2</v>
      </c>
      <c r="G10" s="3">
        <f>D6*F10</f>
        <v>26104.512956810628</v>
      </c>
      <c r="H10" s="20">
        <f t="shared" ref="H10:H14" si="0">C10+G10</f>
        <v>54811.821926910299</v>
      </c>
    </row>
    <row r="11" spans="1:8" x14ac:dyDescent="0.3">
      <c r="A11" s="1" t="s">
        <v>5</v>
      </c>
      <c r="B11" s="1">
        <f>수도비용!D13</f>
        <v>9</v>
      </c>
      <c r="C11" s="3">
        <f>수도비용!F13</f>
        <v>28707.308970099668</v>
      </c>
      <c r="F11" s="1">
        <f>수도비용!I13</f>
        <v>8.9999999999999993E-3</v>
      </c>
      <c r="G11" s="3">
        <f>D6*F11</f>
        <v>5339.5594684385369</v>
      </c>
      <c r="H11" s="20">
        <f t="shared" si="0"/>
        <v>34046.868438538208</v>
      </c>
    </row>
    <row r="12" spans="1:8" x14ac:dyDescent="0.3">
      <c r="A12" s="1" t="s">
        <v>6</v>
      </c>
      <c r="B12" s="1">
        <f>수도비용!D14</f>
        <v>45</v>
      </c>
      <c r="C12" s="3">
        <f>수도비용!F14</f>
        <v>143536.54485049835</v>
      </c>
      <c r="F12" s="1">
        <f>수도비용!I14</f>
        <v>3.1E-2</v>
      </c>
      <c r="G12" s="3">
        <f>D6*F12</f>
        <v>18391.81594684385</v>
      </c>
      <c r="H12" s="20">
        <f t="shared" si="0"/>
        <v>161928.3607973422</v>
      </c>
    </row>
    <row r="13" spans="1:8" x14ac:dyDescent="0.3">
      <c r="A13" s="1" t="s">
        <v>7</v>
      </c>
      <c r="B13" s="1">
        <f>수도비용!D15</f>
        <v>3</v>
      </c>
      <c r="C13" s="3">
        <f>수도비용!F15</f>
        <v>9569.1029900332233</v>
      </c>
      <c r="F13" s="1">
        <f>수도비용!I15</f>
        <v>0.20699999999999999</v>
      </c>
      <c r="G13" s="3">
        <f>D6*F13</f>
        <v>122809.86777408636</v>
      </c>
      <c r="H13" s="20">
        <f t="shared" si="0"/>
        <v>132378.97076411959</v>
      </c>
    </row>
    <row r="14" spans="1:8" x14ac:dyDescent="0.3">
      <c r="A14" s="1" t="s">
        <v>53</v>
      </c>
      <c r="B14" s="1">
        <f>수도비용!D16</f>
        <v>11</v>
      </c>
      <c r="C14" s="3">
        <f>수도비용!F16</f>
        <v>35086.710963455153</v>
      </c>
      <c r="F14" s="1">
        <f>수도비용!I16</f>
        <v>6.2E-2</v>
      </c>
      <c r="G14" s="3">
        <f>D6*F14</f>
        <v>36783.6318936877</v>
      </c>
      <c r="H14" s="20">
        <f t="shared" si="0"/>
        <v>71870.342857142852</v>
      </c>
    </row>
    <row r="15" spans="1:8" x14ac:dyDescent="0.3">
      <c r="A15" s="1" t="s">
        <v>80</v>
      </c>
      <c r="B15" s="1">
        <f>수도비용!D17</f>
        <v>6</v>
      </c>
      <c r="C15" s="3">
        <f>수도비용!F17</f>
        <v>19138.205980066447</v>
      </c>
      <c r="F15" s="1">
        <f>수도비용!I17</f>
        <v>0.20699999999999999</v>
      </c>
      <c r="G15" s="3">
        <f>D6*F15</f>
        <v>122809.86777408636</v>
      </c>
      <c r="H15" s="20">
        <f>SUM(C15,G15)</f>
        <v>141948.07375415281</v>
      </c>
    </row>
    <row r="16" spans="1:8" x14ac:dyDescent="0.3">
      <c r="A16" s="1" t="s">
        <v>116</v>
      </c>
      <c r="B16" s="1">
        <f>수도비용!D18</f>
        <v>0</v>
      </c>
      <c r="C16" s="3">
        <f>수도비용!F18</f>
        <v>0</v>
      </c>
      <c r="F16" s="1">
        <f>수도비용!I18</f>
        <v>0.20699999999999999</v>
      </c>
      <c r="G16" s="3">
        <f>D6*F16</f>
        <v>122809.86777408636</v>
      </c>
      <c r="H16" s="20">
        <f>C16+G16</f>
        <v>122809.86777408636</v>
      </c>
    </row>
    <row r="17" spans="1:16" x14ac:dyDescent="0.3">
      <c r="A17" s="1" t="s">
        <v>57</v>
      </c>
      <c r="B17" s="1">
        <f>수도비용!D19</f>
        <v>32</v>
      </c>
      <c r="C17" s="3">
        <f>수도비용!F19</f>
        <v>102070.43189368771</v>
      </c>
      <c r="F17" s="1">
        <f>수도비용!I19</f>
        <v>0.20699999999999999</v>
      </c>
      <c r="G17" s="3">
        <f>D6*F17</f>
        <v>122809.86777408636</v>
      </c>
      <c r="H17" s="20">
        <f>C17+G17</f>
        <v>224880.29966777406</v>
      </c>
    </row>
    <row r="18" spans="1:16" x14ac:dyDescent="0.3">
      <c r="A18" s="1" t="s">
        <v>58</v>
      </c>
      <c r="B18" s="1">
        <f>수도비용!D20</f>
        <v>0</v>
      </c>
      <c r="C18" s="3">
        <f>수도비용!F20</f>
        <v>0</v>
      </c>
      <c r="F18" s="1">
        <f>수도비용!I20</f>
        <v>2.5999999999999999E-2</v>
      </c>
      <c r="G18" s="3">
        <f>D6*F18</f>
        <v>15425.394019933552</v>
      </c>
      <c r="H18" s="20">
        <f>C18+G18</f>
        <v>15425.394019933552</v>
      </c>
    </row>
    <row r="19" spans="1:16" x14ac:dyDescent="0.3">
      <c r="A19" s="1" t="s">
        <v>23</v>
      </c>
      <c r="B19" s="1">
        <f>SUM(B10:B18)</f>
        <v>115</v>
      </c>
      <c r="C19" s="3">
        <f>SUM(C10:C18)</f>
        <v>366815.61461794021</v>
      </c>
      <c r="F19" s="1">
        <f>SUM(F10:F18)</f>
        <v>0.99999999999999989</v>
      </c>
      <c r="G19" s="3">
        <f>SUM(G10:G18)</f>
        <v>593284.38538205973</v>
      </c>
      <c r="H19" s="3">
        <f>SUM(H10:H18)</f>
        <v>960099.99999999988</v>
      </c>
    </row>
    <row r="20" spans="1:16" x14ac:dyDescent="0.3">
      <c r="I20" t="s">
        <v>52</v>
      </c>
      <c r="J20" t="s">
        <v>49</v>
      </c>
      <c r="M20" t="s">
        <v>51</v>
      </c>
      <c r="O20" t="s">
        <v>50</v>
      </c>
    </row>
    <row r="21" spans="1:16" x14ac:dyDescent="0.3">
      <c r="C21" s="5" t="s">
        <v>22</v>
      </c>
      <c r="D21" s="6" t="s">
        <v>17</v>
      </c>
      <c r="E21" s="6"/>
      <c r="F21" s="7"/>
    </row>
    <row r="22" spans="1:16" x14ac:dyDescent="0.3">
      <c r="C22" s="8" t="s">
        <v>18</v>
      </c>
      <c r="D22" s="9" t="s">
        <v>19</v>
      </c>
      <c r="E22" s="9"/>
      <c r="F22" s="10"/>
      <c r="G22" t="s">
        <v>48</v>
      </c>
      <c r="P22" t="s">
        <v>49</v>
      </c>
    </row>
    <row r="23" spans="1:16" ht="16.5" customHeight="1" x14ac:dyDescent="0.3">
      <c r="C23" s="11" t="s">
        <v>20</v>
      </c>
      <c r="D23" s="12" t="s">
        <v>21</v>
      </c>
      <c r="E23" s="12"/>
      <c r="F23" s="13"/>
    </row>
    <row r="25" spans="1:16" ht="31.5" x14ac:dyDescent="0.55000000000000004">
      <c r="A25" s="201" t="s">
        <v>136</v>
      </c>
      <c r="B25" s="201"/>
      <c r="C25" s="201"/>
      <c r="D25" s="201"/>
      <c r="E25" s="201"/>
      <c r="F25" s="201"/>
      <c r="G25" s="201"/>
      <c r="H25" t="s">
        <v>55</v>
      </c>
    </row>
    <row r="26" spans="1:16" x14ac:dyDescent="0.3">
      <c r="B26" s="23" t="s">
        <v>47</v>
      </c>
      <c r="C26" s="24" t="s">
        <v>33</v>
      </c>
      <c r="D26" s="24"/>
      <c r="E26" s="24"/>
      <c r="F26" s="24" t="s">
        <v>34</v>
      </c>
      <c r="G26" s="24" t="s">
        <v>32</v>
      </c>
      <c r="H26" s="24" t="s">
        <v>35</v>
      </c>
    </row>
    <row r="27" spans="1:16" x14ac:dyDescent="0.3">
      <c r="B27" s="25">
        <f>전기비용!B4</f>
        <v>203280</v>
      </c>
      <c r="C27" s="25">
        <f>전기비용!D4</f>
        <v>562270</v>
      </c>
      <c r="D27" s="25"/>
      <c r="E27" s="25"/>
      <c r="F27" s="25">
        <f>전기비용!I4</f>
        <v>18790</v>
      </c>
      <c r="G27" s="25">
        <f>전기비용!K4</f>
        <v>784340</v>
      </c>
      <c r="H27" s="2" t="str">
        <f>전기비용!M4</f>
        <v>06.05 - 07.03</v>
      </c>
    </row>
    <row r="29" spans="1:16" x14ac:dyDescent="0.3">
      <c r="A29" s="27" t="s">
        <v>37</v>
      </c>
      <c r="B29" s="27" t="s">
        <v>42</v>
      </c>
      <c r="C29" s="27" t="s">
        <v>43</v>
      </c>
      <c r="D29" s="27"/>
      <c r="E29" s="27"/>
      <c r="F29" s="27" t="s">
        <v>44</v>
      </c>
      <c r="G29" s="27" t="s">
        <v>45</v>
      </c>
      <c r="H29" s="27" t="s">
        <v>46</v>
      </c>
    </row>
    <row r="30" spans="1:16" x14ac:dyDescent="0.3">
      <c r="A30" s="1" t="s">
        <v>36</v>
      </c>
      <c r="B30" s="26">
        <f>전기비용!D8</f>
        <v>8944.32</v>
      </c>
      <c r="C30" s="26">
        <f>전기비용!F8</f>
        <v>24739.879999999997</v>
      </c>
      <c r="D30" s="26"/>
      <c r="E30" s="1"/>
      <c r="F30" s="26">
        <f>전기비용!I8</f>
        <v>826.76</v>
      </c>
      <c r="G30" s="1">
        <f>전기비용!K8</f>
        <v>4.3999999999999997E-2</v>
      </c>
      <c r="H30" s="28">
        <f>전기비용!M8</f>
        <v>34510.959999999999</v>
      </c>
    </row>
    <row r="31" spans="1:16" x14ac:dyDescent="0.3">
      <c r="A31" s="1" t="s">
        <v>38</v>
      </c>
      <c r="B31" s="26">
        <f>전기비용!D9</f>
        <v>1829.5199999999998</v>
      </c>
      <c r="C31" s="26">
        <f>전기비용!F9</f>
        <v>5060.4299999999994</v>
      </c>
      <c r="D31" s="26"/>
      <c r="E31" s="1"/>
      <c r="F31" s="26">
        <f>전기비용!I9</f>
        <v>169.10999999999999</v>
      </c>
      <c r="G31" s="1">
        <f>전기비용!K9</f>
        <v>8.9999999999999993E-3</v>
      </c>
      <c r="H31" s="28">
        <f>전기비용!M9</f>
        <v>7059.0599999999986</v>
      </c>
    </row>
    <row r="32" spans="1:16" x14ac:dyDescent="0.3">
      <c r="A32" s="1" t="s">
        <v>39</v>
      </c>
      <c r="B32" s="26">
        <f>전기비용!D10</f>
        <v>6301.68</v>
      </c>
      <c r="C32" s="26">
        <f>전기비용!F10</f>
        <v>17430.37</v>
      </c>
      <c r="D32" s="26"/>
      <c r="E32" s="1"/>
      <c r="F32" s="26">
        <f>전기비용!I10</f>
        <v>582.49</v>
      </c>
      <c r="G32" s="1">
        <f>전기비용!K10</f>
        <v>3.1E-2</v>
      </c>
      <c r="H32" s="28">
        <f>전기비용!M10</f>
        <v>24314.54</v>
      </c>
    </row>
    <row r="33" spans="1:8" x14ac:dyDescent="0.3">
      <c r="A33" s="1" t="s">
        <v>40</v>
      </c>
      <c r="B33" s="26">
        <f>전기비용!D11</f>
        <v>42078.96</v>
      </c>
      <c r="C33" s="26">
        <f>전기비용!F11</f>
        <v>116389.89</v>
      </c>
      <c r="D33" s="26"/>
      <c r="E33" s="1"/>
      <c r="F33" s="26">
        <f>전기비용!I11</f>
        <v>3889.5299999999997</v>
      </c>
      <c r="G33" s="1">
        <f>전기비용!K11</f>
        <v>0.20699999999999999</v>
      </c>
      <c r="H33" s="28">
        <f>전기비용!M11</f>
        <v>162358.38</v>
      </c>
    </row>
    <row r="34" spans="1:8" x14ac:dyDescent="0.3">
      <c r="A34" s="1" t="s">
        <v>53</v>
      </c>
      <c r="B34" s="26">
        <f>전기비용!D12</f>
        <v>12603.36</v>
      </c>
      <c r="C34" s="26">
        <f>전기비용!F12</f>
        <v>34860.74</v>
      </c>
      <c r="D34" s="26"/>
      <c r="E34" s="1"/>
      <c r="F34" s="26">
        <f>전기비용!I12</f>
        <v>1164.98</v>
      </c>
      <c r="G34" s="1">
        <f>전기비용!K12</f>
        <v>6.2E-2</v>
      </c>
      <c r="H34" s="28">
        <f>전기비용!M12</f>
        <v>48629.08</v>
      </c>
    </row>
    <row r="35" spans="1:8" x14ac:dyDescent="0.3">
      <c r="A35" s="1" t="s">
        <v>98</v>
      </c>
      <c r="B35" s="26">
        <f>전기비용!D13</f>
        <v>42078.96</v>
      </c>
      <c r="C35" s="26">
        <f>전기비용!F13</f>
        <v>116389.89</v>
      </c>
      <c r="D35" s="26"/>
      <c r="E35" s="1"/>
      <c r="F35" s="26">
        <f>전기비용!I13</f>
        <v>3889.5299999999997</v>
      </c>
      <c r="G35" s="1">
        <f>전기비용!K13</f>
        <v>0.20699999999999999</v>
      </c>
      <c r="H35" s="28">
        <f>전기비용!M13</f>
        <v>162358.38</v>
      </c>
    </row>
    <row r="36" spans="1:8" x14ac:dyDescent="0.3">
      <c r="A36" s="1" t="s">
        <v>80</v>
      </c>
      <c r="B36" s="26">
        <f>전기비용!D14</f>
        <v>42078.96</v>
      </c>
      <c r="C36" s="26">
        <f>전기비용!F14</f>
        <v>116389.89</v>
      </c>
      <c r="D36" s="26"/>
      <c r="E36" s="1"/>
      <c r="F36" s="26">
        <f>전기비용!I14</f>
        <v>3889.5299999999997</v>
      </c>
      <c r="G36" s="1">
        <f>전기비용!K14</f>
        <v>0.20699999999999999</v>
      </c>
      <c r="H36" s="28">
        <f>전기비용!M14</f>
        <v>162358.38</v>
      </c>
    </row>
    <row r="37" spans="1:8" x14ac:dyDescent="0.3">
      <c r="A37" s="1" t="s">
        <v>57</v>
      </c>
      <c r="B37" s="26">
        <f>전기비용!D15</f>
        <v>42078.96</v>
      </c>
      <c r="C37" s="26">
        <f>전기비용!F15</f>
        <v>116389.89</v>
      </c>
      <c r="D37" s="26"/>
      <c r="E37" s="1"/>
      <c r="F37" s="26">
        <f>전기비용!I15</f>
        <v>3889.5299999999997</v>
      </c>
      <c r="G37" s="1">
        <f>전기비용!K15</f>
        <v>0.20699999999999999</v>
      </c>
      <c r="H37" s="28">
        <f>전기비용!M15</f>
        <v>162358.38</v>
      </c>
    </row>
    <row r="38" spans="1:8" x14ac:dyDescent="0.3">
      <c r="A38" s="1" t="s">
        <v>58</v>
      </c>
      <c r="B38" s="26">
        <f>전기비용!D16</f>
        <v>5285.28</v>
      </c>
      <c r="C38" s="26">
        <f>전기비용!F16</f>
        <v>14619.019999999999</v>
      </c>
      <c r="D38" s="26"/>
      <c r="E38" s="1"/>
      <c r="F38" s="26">
        <f>전기비용!I16</f>
        <v>488.53999999999996</v>
      </c>
      <c r="G38" s="1">
        <f>전기비용!K16</f>
        <v>2.5999999999999999E-2</v>
      </c>
      <c r="H38" s="28">
        <f>전기비용!M16</f>
        <v>20392.84</v>
      </c>
    </row>
    <row r="39" spans="1:8" x14ac:dyDescent="0.3">
      <c r="A39" s="1" t="s">
        <v>41</v>
      </c>
      <c r="B39" s="26">
        <f>전기비용!D17</f>
        <v>203279.99999999997</v>
      </c>
      <c r="C39" s="26">
        <f>전기비용!F17</f>
        <v>562270</v>
      </c>
      <c r="D39" s="26"/>
      <c r="E39" s="1"/>
      <c r="F39" s="26">
        <f>SUM(F30:F38)</f>
        <v>18789.999999999996</v>
      </c>
      <c r="G39" s="26">
        <f>SUM(G30:G38)</f>
        <v>0.99999999999999989</v>
      </c>
      <c r="H39" s="28">
        <f>SUM(H30:H38)</f>
        <v>784340</v>
      </c>
    </row>
    <row r="41" spans="1:8" ht="17.25" thickBot="1" x14ac:dyDescent="0.35"/>
    <row r="42" spans="1:8" x14ac:dyDescent="0.3">
      <c r="A42" s="14"/>
      <c r="B42" s="32" t="s">
        <v>24</v>
      </c>
      <c r="C42" s="34" t="s">
        <v>25</v>
      </c>
      <c r="F42" s="21" t="s">
        <v>31</v>
      </c>
      <c r="G42" s="21" t="s">
        <v>30</v>
      </c>
      <c r="H42" s="22">
        <v>4000</v>
      </c>
    </row>
    <row r="43" spans="1:8" x14ac:dyDescent="0.3">
      <c r="A43" s="1" t="s">
        <v>26</v>
      </c>
      <c r="B43" s="33">
        <f>'일반 관리비'!D6</f>
        <v>44</v>
      </c>
      <c r="C43" s="35">
        <f>'일반 관리비'!F6</f>
        <v>176000</v>
      </c>
    </row>
    <row r="44" spans="1:8" x14ac:dyDescent="0.3">
      <c r="A44" s="1" t="s">
        <v>27</v>
      </c>
      <c r="B44" s="33">
        <f>'일반 관리비'!D7</f>
        <v>10</v>
      </c>
      <c r="C44" s="35">
        <f>'일반 관리비'!F7</f>
        <v>40000</v>
      </c>
    </row>
    <row r="45" spans="1:8" x14ac:dyDescent="0.3">
      <c r="A45" s="1" t="s">
        <v>28</v>
      </c>
      <c r="B45" s="33">
        <f>'일반 관리비'!D8</f>
        <v>31</v>
      </c>
      <c r="C45" s="35">
        <f>'일반 관리비'!F8</f>
        <v>124000</v>
      </c>
    </row>
    <row r="46" spans="1:8" x14ac:dyDescent="0.3">
      <c r="A46" s="1" t="s">
        <v>29</v>
      </c>
      <c r="B46" s="33">
        <f>'일반 관리비'!D9</f>
        <v>207</v>
      </c>
      <c r="C46" s="35">
        <f>'일반 관리비'!F9</f>
        <v>828000</v>
      </c>
    </row>
    <row r="47" spans="1:8" x14ac:dyDescent="0.3">
      <c r="A47" s="1" t="s">
        <v>54</v>
      </c>
      <c r="B47" s="33">
        <f>'일반 관리비'!D10</f>
        <v>62</v>
      </c>
      <c r="C47" s="35">
        <f>'일반 관리비'!F10</f>
        <v>248000</v>
      </c>
    </row>
    <row r="48" spans="1:8" x14ac:dyDescent="0.3">
      <c r="A48" s="1" t="s">
        <v>117</v>
      </c>
      <c r="B48" s="33">
        <f>'일반 관리비'!D11</f>
        <v>207</v>
      </c>
      <c r="C48" s="35">
        <f>'일반 관리비'!F11</f>
        <v>828000</v>
      </c>
    </row>
    <row r="49" spans="1:3" x14ac:dyDescent="0.3">
      <c r="A49" s="1" t="s">
        <v>118</v>
      </c>
      <c r="B49" s="33">
        <f>'일반 관리비'!D12</f>
        <v>207</v>
      </c>
      <c r="C49" s="35">
        <f>'일반 관리비'!F12</f>
        <v>828000</v>
      </c>
    </row>
    <row r="50" spans="1:3" x14ac:dyDescent="0.3">
      <c r="A50" s="1" t="s">
        <v>120</v>
      </c>
      <c r="B50" s="33">
        <f>'일반 관리비'!D13</f>
        <v>207</v>
      </c>
      <c r="C50" s="35">
        <f>'일반 관리비'!F13</f>
        <v>828000</v>
      </c>
    </row>
    <row r="51" spans="1:3" x14ac:dyDescent="0.3">
      <c r="A51" s="1" t="s">
        <v>58</v>
      </c>
      <c r="B51" s="33">
        <f>'일반 관리비'!D14</f>
        <v>31</v>
      </c>
      <c r="C51" s="35">
        <f>'일반 관리비'!F14</f>
        <v>124000</v>
      </c>
    </row>
    <row r="52" spans="1:3" ht="17.25" thickBot="1" x14ac:dyDescent="0.35">
      <c r="A52" s="1" t="s">
        <v>23</v>
      </c>
      <c r="B52" s="33">
        <f>SUM(B43:B51)</f>
        <v>1006</v>
      </c>
      <c r="C52" s="36">
        <f>SUM(C43:C51)</f>
        <v>4024000</v>
      </c>
    </row>
  </sheetData>
  <mergeCells count="5">
    <mergeCell ref="C5:D5"/>
    <mergeCell ref="D9:E9"/>
    <mergeCell ref="A1:G1"/>
    <mergeCell ref="B4:C4"/>
    <mergeCell ref="A25:G2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8" orientation="portrait" horizontalDpi="4294967293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4CC47-9FA4-432F-A4E9-D1788C721730}">
  <sheetPr>
    <tabColor rgb="FF00B0F0"/>
  </sheetPr>
  <dimension ref="A1:R41"/>
  <sheetViews>
    <sheetView zoomScaleNormal="100" workbookViewId="0">
      <selection activeCell="A29" sqref="A29:M30"/>
    </sheetView>
  </sheetViews>
  <sheetFormatPr defaultRowHeight="16.5" x14ac:dyDescent="0.3"/>
  <cols>
    <col min="1" max="6" width="4.625" customWidth="1"/>
    <col min="7" max="7" width="1" customWidth="1"/>
    <col min="8" max="23" width="4.625" customWidth="1"/>
  </cols>
  <sheetData>
    <row r="1" spans="1:18" ht="16.5" customHeight="1" x14ac:dyDescent="0.3">
      <c r="A1" s="86" t="s">
        <v>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8"/>
    </row>
    <row r="2" spans="1:18" ht="16.5" customHeight="1" x14ac:dyDescent="0.3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1"/>
    </row>
    <row r="3" spans="1:18" ht="16.5" customHeight="1" thickBot="1" x14ac:dyDescent="0.35">
      <c r="A3" s="92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4"/>
    </row>
    <row r="4" spans="1:18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</row>
    <row r="5" spans="1:18" ht="17.25" customHeight="1" x14ac:dyDescent="0.3">
      <c r="A5" s="96">
        <v>2026</v>
      </c>
      <c r="B5" s="96"/>
      <c r="C5" s="97" t="s">
        <v>60</v>
      </c>
      <c r="D5" s="96">
        <v>7</v>
      </c>
      <c r="E5" s="97" t="s">
        <v>61</v>
      </c>
      <c r="F5" s="96">
        <v>101</v>
      </c>
      <c r="G5" s="96"/>
      <c r="H5" s="96"/>
      <c r="I5" s="96"/>
      <c r="J5" s="96"/>
      <c r="K5" s="96"/>
      <c r="L5" s="97" t="s">
        <v>62</v>
      </c>
      <c r="M5" s="96" t="s">
        <v>6</v>
      </c>
      <c r="N5" s="96"/>
      <c r="O5" s="96"/>
      <c r="P5" s="96"/>
      <c r="Q5" s="98" t="s">
        <v>63</v>
      </c>
      <c r="R5" s="98"/>
    </row>
    <row r="6" spans="1:18" ht="16.5" customHeight="1" x14ac:dyDescent="0.3">
      <c r="A6" s="96"/>
      <c r="B6" s="96"/>
      <c r="C6" s="97"/>
      <c r="D6" s="96"/>
      <c r="E6" s="97"/>
      <c r="F6" s="96"/>
      <c r="G6" s="96"/>
      <c r="H6" s="96"/>
      <c r="I6" s="96"/>
      <c r="J6" s="96"/>
      <c r="K6" s="96"/>
      <c r="L6" s="97"/>
      <c r="M6" s="96"/>
      <c r="N6" s="96"/>
      <c r="O6" s="96"/>
      <c r="P6" s="96"/>
      <c r="Q6" s="98"/>
      <c r="R6" s="98"/>
    </row>
    <row r="7" spans="1:18" ht="17.25" thickBot="1" x14ac:dyDescent="0.35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</row>
    <row r="8" spans="1:18" ht="17.25" x14ac:dyDescent="0.3">
      <c r="A8" s="70" t="s">
        <v>25</v>
      </c>
      <c r="B8" s="70"/>
      <c r="C8" s="70"/>
      <c r="D8" s="71">
        <f>통합비용!C45</f>
        <v>124000</v>
      </c>
      <c r="E8" s="71"/>
      <c r="F8" s="71"/>
      <c r="G8" s="46"/>
      <c r="H8" s="70" t="s">
        <v>78</v>
      </c>
      <c r="I8" s="70"/>
      <c r="J8" s="70"/>
      <c r="K8" s="71">
        <f>통합비용!C12</f>
        <v>143536.54485049835</v>
      </c>
      <c r="L8" s="71"/>
      <c r="M8" s="71"/>
      <c r="N8" s="85"/>
      <c r="O8" s="57" t="s">
        <v>64</v>
      </c>
      <c r="P8" s="58"/>
      <c r="Q8" s="58"/>
      <c r="R8" s="59"/>
    </row>
    <row r="9" spans="1:18" ht="17.25" x14ac:dyDescent="0.3">
      <c r="A9" s="70"/>
      <c r="B9" s="70"/>
      <c r="C9" s="70"/>
      <c r="D9" s="71"/>
      <c r="E9" s="71"/>
      <c r="F9" s="71"/>
      <c r="G9" s="46"/>
      <c r="H9" s="70"/>
      <c r="I9" s="70"/>
      <c r="J9" s="70"/>
      <c r="K9" s="71"/>
      <c r="L9" s="71"/>
      <c r="M9" s="71"/>
      <c r="N9" s="85"/>
      <c r="O9" s="60"/>
      <c r="P9" s="61"/>
      <c r="Q9" s="61"/>
      <c r="R9" s="62"/>
    </row>
    <row r="10" spans="1:18" ht="18" thickBot="1" x14ac:dyDescent="0.35">
      <c r="A10" s="70" t="s">
        <v>69</v>
      </c>
      <c r="B10" s="70"/>
      <c r="C10" s="70"/>
      <c r="D10" s="71">
        <f>D8*10%</f>
        <v>12400</v>
      </c>
      <c r="E10" s="71"/>
      <c r="F10" s="71"/>
      <c r="G10" s="46"/>
      <c r="H10" s="70" t="s">
        <v>82</v>
      </c>
      <c r="I10" s="70"/>
      <c r="J10" s="70"/>
      <c r="K10" s="71">
        <f>통합비용!B12</f>
        <v>45</v>
      </c>
      <c r="L10" s="71"/>
      <c r="M10" s="71"/>
      <c r="N10" s="85"/>
      <c r="O10" s="81">
        <f>SUM(K8,K12,K14,K18,K20,K24,D8,D10,D12,D14,D16,D18,D20,D22,D24,D26)</f>
        <v>325742.90079734218</v>
      </c>
      <c r="P10" s="82"/>
      <c r="Q10" s="82"/>
      <c r="R10" s="83"/>
    </row>
    <row r="11" spans="1:18" ht="18" thickBot="1" x14ac:dyDescent="0.35">
      <c r="A11" s="70"/>
      <c r="B11" s="70"/>
      <c r="C11" s="70"/>
      <c r="D11" s="71"/>
      <c r="E11" s="71"/>
      <c r="F11" s="71"/>
      <c r="G11" s="46"/>
      <c r="H11" s="70"/>
      <c r="I11" s="70"/>
      <c r="J11" s="70"/>
      <c r="K11" s="71"/>
      <c r="L11" s="71"/>
      <c r="M11" s="71"/>
      <c r="N11" s="85"/>
      <c r="O11" s="61"/>
      <c r="P11" s="61"/>
      <c r="Q11" s="61"/>
      <c r="R11" s="61"/>
    </row>
    <row r="12" spans="1:18" ht="17.25" x14ac:dyDescent="0.3">
      <c r="A12" s="70" t="s">
        <v>70</v>
      </c>
      <c r="B12" s="70"/>
      <c r="C12" s="70"/>
      <c r="D12" s="71">
        <v>0</v>
      </c>
      <c r="E12" s="71"/>
      <c r="F12" s="71"/>
      <c r="G12" s="46"/>
      <c r="H12" s="70" t="s">
        <v>83</v>
      </c>
      <c r="I12" s="70"/>
      <c r="J12" s="70"/>
      <c r="K12" s="71">
        <v>0</v>
      </c>
      <c r="L12" s="71"/>
      <c r="M12" s="71"/>
      <c r="N12" s="85"/>
      <c r="O12" s="57" t="s">
        <v>65</v>
      </c>
      <c r="P12" s="58"/>
      <c r="Q12" s="58"/>
      <c r="R12" s="59"/>
    </row>
    <row r="13" spans="1:18" ht="17.25" x14ac:dyDescent="0.3">
      <c r="A13" s="70"/>
      <c r="B13" s="70"/>
      <c r="C13" s="70"/>
      <c r="D13" s="71"/>
      <c r="E13" s="71"/>
      <c r="F13" s="71"/>
      <c r="G13" s="46"/>
      <c r="H13" s="70"/>
      <c r="I13" s="70"/>
      <c r="J13" s="70"/>
      <c r="K13" s="71"/>
      <c r="L13" s="71"/>
      <c r="M13" s="71"/>
      <c r="N13" s="85"/>
      <c r="O13" s="60"/>
      <c r="P13" s="61"/>
      <c r="Q13" s="61"/>
      <c r="R13" s="62"/>
    </row>
    <row r="14" spans="1:18" ht="18" thickBot="1" x14ac:dyDescent="0.35">
      <c r="A14" s="70" t="s">
        <v>71</v>
      </c>
      <c r="B14" s="70"/>
      <c r="C14" s="70"/>
      <c r="D14" s="71">
        <v>0</v>
      </c>
      <c r="E14" s="71"/>
      <c r="F14" s="71"/>
      <c r="G14" s="46"/>
      <c r="H14" s="70" t="s">
        <v>84</v>
      </c>
      <c r="I14" s="70"/>
      <c r="J14" s="70"/>
      <c r="K14" s="71">
        <f>통합비용!H32</f>
        <v>24314.54</v>
      </c>
      <c r="L14" s="71"/>
      <c r="M14" s="71"/>
      <c r="N14" s="85"/>
      <c r="O14" s="202"/>
      <c r="P14" s="203"/>
      <c r="Q14" s="203"/>
      <c r="R14" s="204"/>
    </row>
    <row r="15" spans="1:18" ht="18" thickBot="1" x14ac:dyDescent="0.35">
      <c r="A15" s="70"/>
      <c r="B15" s="70"/>
      <c r="C15" s="70"/>
      <c r="D15" s="71"/>
      <c r="E15" s="71"/>
      <c r="F15" s="71"/>
      <c r="G15" s="46"/>
      <c r="H15" s="70"/>
      <c r="I15" s="70"/>
      <c r="J15" s="70"/>
      <c r="K15" s="71"/>
      <c r="L15" s="71"/>
      <c r="M15" s="71"/>
      <c r="N15" s="85"/>
      <c r="O15" s="61"/>
      <c r="P15" s="61"/>
      <c r="Q15" s="61"/>
      <c r="R15" s="61"/>
    </row>
    <row r="16" spans="1:18" ht="17.25" x14ac:dyDescent="0.3">
      <c r="A16" s="70" t="s">
        <v>72</v>
      </c>
      <c r="B16" s="70"/>
      <c r="C16" s="70"/>
      <c r="D16" s="71">
        <v>0</v>
      </c>
      <c r="E16" s="71"/>
      <c r="F16" s="71"/>
      <c r="G16" s="46"/>
      <c r="H16" s="70"/>
      <c r="I16" s="70"/>
      <c r="J16" s="70"/>
      <c r="K16" s="71"/>
      <c r="L16" s="71"/>
      <c r="M16" s="71"/>
      <c r="N16" s="85"/>
      <c r="O16" s="57" t="s">
        <v>66</v>
      </c>
      <c r="P16" s="58"/>
      <c r="Q16" s="58"/>
      <c r="R16" s="59"/>
    </row>
    <row r="17" spans="1:18" ht="17.25" x14ac:dyDescent="0.3">
      <c r="A17" s="70"/>
      <c r="B17" s="70"/>
      <c r="C17" s="70"/>
      <c r="D17" s="71"/>
      <c r="E17" s="71"/>
      <c r="F17" s="71"/>
      <c r="G17" s="46"/>
      <c r="H17" s="70"/>
      <c r="I17" s="70"/>
      <c r="J17" s="70"/>
      <c r="K17" s="71"/>
      <c r="L17" s="71"/>
      <c r="M17" s="71"/>
      <c r="N17" s="85"/>
      <c r="O17" s="60"/>
      <c r="P17" s="61"/>
      <c r="Q17" s="61"/>
      <c r="R17" s="62"/>
    </row>
    <row r="18" spans="1:18" ht="18" thickBot="1" x14ac:dyDescent="0.35">
      <c r="A18" s="70" t="s">
        <v>73</v>
      </c>
      <c r="B18" s="70"/>
      <c r="C18" s="70"/>
      <c r="D18" s="71">
        <v>0</v>
      </c>
      <c r="E18" s="71"/>
      <c r="F18" s="71"/>
      <c r="G18" s="46"/>
      <c r="H18" s="70" t="s">
        <v>85</v>
      </c>
      <c r="I18" s="70"/>
      <c r="J18" s="70"/>
      <c r="K18" s="71">
        <v>3100</v>
      </c>
      <c r="L18" s="71"/>
      <c r="M18" s="71"/>
      <c r="N18" s="85"/>
      <c r="O18" s="202"/>
      <c r="P18" s="203"/>
      <c r="Q18" s="203"/>
      <c r="R18" s="204"/>
    </row>
    <row r="19" spans="1:18" ht="18" thickBot="1" x14ac:dyDescent="0.35">
      <c r="A19" s="70"/>
      <c r="B19" s="70"/>
      <c r="C19" s="70"/>
      <c r="D19" s="71"/>
      <c r="E19" s="71"/>
      <c r="F19" s="71"/>
      <c r="G19" s="46"/>
      <c r="H19" s="70"/>
      <c r="I19" s="70"/>
      <c r="J19" s="70"/>
      <c r="K19" s="71"/>
      <c r="L19" s="71"/>
      <c r="M19" s="71"/>
      <c r="N19" s="85"/>
      <c r="O19" s="61"/>
      <c r="P19" s="61"/>
      <c r="Q19" s="61"/>
      <c r="R19" s="61"/>
    </row>
    <row r="20" spans="1:18" ht="17.25" x14ac:dyDescent="0.3">
      <c r="A20" s="70" t="s">
        <v>74</v>
      </c>
      <c r="B20" s="70"/>
      <c r="C20" s="70"/>
      <c r="D20" s="71">
        <v>0</v>
      </c>
      <c r="E20" s="71"/>
      <c r="F20" s="71"/>
      <c r="G20" s="46"/>
      <c r="H20" s="70" t="s">
        <v>125</v>
      </c>
      <c r="I20" s="70"/>
      <c r="J20" s="70"/>
      <c r="K20" s="71"/>
      <c r="L20" s="71"/>
      <c r="M20" s="71"/>
      <c r="N20" s="85"/>
      <c r="O20" s="57" t="s">
        <v>67</v>
      </c>
      <c r="P20" s="58"/>
      <c r="Q20" s="58"/>
      <c r="R20" s="59"/>
    </row>
    <row r="21" spans="1:18" ht="17.25" x14ac:dyDescent="0.3">
      <c r="A21" s="70"/>
      <c r="B21" s="70"/>
      <c r="C21" s="70"/>
      <c r="D21" s="71"/>
      <c r="E21" s="71"/>
      <c r="F21" s="71"/>
      <c r="G21" s="46"/>
      <c r="H21" s="70"/>
      <c r="I21" s="70"/>
      <c r="J21" s="70"/>
      <c r="K21" s="71"/>
      <c r="L21" s="71"/>
      <c r="M21" s="71"/>
      <c r="N21" s="85"/>
      <c r="O21" s="60"/>
      <c r="P21" s="61"/>
      <c r="Q21" s="61"/>
      <c r="R21" s="62"/>
    </row>
    <row r="22" spans="1:18" ht="18" thickBot="1" x14ac:dyDescent="0.35">
      <c r="A22" s="70" t="s">
        <v>75</v>
      </c>
      <c r="B22" s="70"/>
      <c r="C22" s="70"/>
      <c r="D22" s="71">
        <v>0</v>
      </c>
      <c r="E22" s="71"/>
      <c r="F22" s="71"/>
      <c r="G22" s="46"/>
      <c r="H22" s="70"/>
      <c r="I22" s="70"/>
      <c r="J22" s="70"/>
      <c r="K22" s="71"/>
      <c r="L22" s="71"/>
      <c r="M22" s="71"/>
      <c r="N22" s="85"/>
      <c r="O22" s="75">
        <f>SUM(O10,O14,O18)</f>
        <v>325742.90079734218</v>
      </c>
      <c r="P22" s="76"/>
      <c r="Q22" s="76"/>
      <c r="R22" s="77"/>
    </row>
    <row r="23" spans="1:18" ht="18" thickBot="1" x14ac:dyDescent="0.35">
      <c r="A23" s="70"/>
      <c r="B23" s="70"/>
      <c r="C23" s="70"/>
      <c r="D23" s="71"/>
      <c r="E23" s="71"/>
      <c r="F23" s="71"/>
      <c r="G23" s="46"/>
      <c r="H23" s="70"/>
      <c r="I23" s="70"/>
      <c r="J23" s="70"/>
      <c r="K23" s="71"/>
      <c r="L23" s="71"/>
      <c r="M23" s="71"/>
      <c r="N23" s="85"/>
      <c r="O23" s="61"/>
      <c r="P23" s="61"/>
      <c r="Q23" s="61"/>
      <c r="R23" s="61"/>
    </row>
    <row r="24" spans="1:18" ht="17.25" x14ac:dyDescent="0.3">
      <c r="A24" s="70" t="s">
        <v>76</v>
      </c>
      <c r="B24" s="70"/>
      <c r="C24" s="70"/>
      <c r="D24" s="71">
        <v>0</v>
      </c>
      <c r="E24" s="71"/>
      <c r="F24" s="71"/>
      <c r="G24" s="46"/>
      <c r="H24" s="70" t="s">
        <v>87</v>
      </c>
      <c r="I24" s="70"/>
      <c r="J24" s="70"/>
      <c r="K24" s="71">
        <v>0</v>
      </c>
      <c r="L24" s="71"/>
      <c r="M24" s="71"/>
      <c r="N24" s="85"/>
      <c r="O24" s="57" t="s">
        <v>88</v>
      </c>
      <c r="P24" s="58"/>
      <c r="Q24" s="58"/>
      <c r="R24" s="59"/>
    </row>
    <row r="25" spans="1:18" ht="17.25" x14ac:dyDescent="0.3">
      <c r="A25" s="70"/>
      <c r="B25" s="70"/>
      <c r="C25" s="70"/>
      <c r="D25" s="71"/>
      <c r="E25" s="71"/>
      <c r="F25" s="71"/>
      <c r="G25" s="46"/>
      <c r="H25" s="70"/>
      <c r="I25" s="70"/>
      <c r="J25" s="70"/>
      <c r="K25" s="71"/>
      <c r="L25" s="71"/>
      <c r="M25" s="71"/>
      <c r="N25" s="85"/>
      <c r="O25" s="60"/>
      <c r="P25" s="61"/>
      <c r="Q25" s="61"/>
      <c r="R25" s="62"/>
    </row>
    <row r="26" spans="1:18" ht="18" thickBot="1" x14ac:dyDescent="0.35">
      <c r="A26" s="70" t="s">
        <v>77</v>
      </c>
      <c r="B26" s="70"/>
      <c r="C26" s="70"/>
      <c r="D26" s="71">
        <f>통합비용!G12</f>
        <v>18391.81594684385</v>
      </c>
      <c r="E26" s="71"/>
      <c r="F26" s="71"/>
      <c r="G26" s="46"/>
      <c r="H26" s="70"/>
      <c r="I26" s="70"/>
      <c r="J26" s="70"/>
      <c r="K26" s="71"/>
      <c r="L26" s="71"/>
      <c r="M26" s="71"/>
      <c r="N26" s="85"/>
      <c r="O26" s="72">
        <v>1.5</v>
      </c>
      <c r="P26" s="73"/>
      <c r="Q26" s="73"/>
      <c r="R26" s="74"/>
    </row>
    <row r="27" spans="1:18" ht="18" thickBot="1" x14ac:dyDescent="0.35">
      <c r="A27" s="70"/>
      <c r="B27" s="70"/>
      <c r="C27" s="70"/>
      <c r="D27" s="47"/>
      <c r="E27" s="71"/>
      <c r="F27" s="71"/>
      <c r="G27" s="46"/>
      <c r="H27" s="70"/>
      <c r="I27" s="70"/>
      <c r="J27" s="70"/>
      <c r="K27" s="70"/>
      <c r="L27" s="70"/>
      <c r="M27" s="70"/>
      <c r="N27" s="85"/>
      <c r="O27" s="61"/>
      <c r="P27" s="61"/>
      <c r="Q27" s="61"/>
      <c r="R27" s="61"/>
    </row>
    <row r="28" spans="1:18" ht="18" thickTop="1" x14ac:dyDescent="0.3">
      <c r="A28" s="67" t="s">
        <v>90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9"/>
      <c r="N28" s="85"/>
      <c r="O28" s="57" t="s">
        <v>89</v>
      </c>
      <c r="P28" s="58"/>
      <c r="Q28" s="58"/>
      <c r="R28" s="59"/>
    </row>
    <row r="29" spans="1:18" x14ac:dyDescent="0.3">
      <c r="A29" s="70" t="s">
        <v>137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85"/>
      <c r="O29" s="60"/>
      <c r="P29" s="61"/>
      <c r="Q29" s="61"/>
      <c r="R29" s="62"/>
    </row>
    <row r="30" spans="1:18" ht="18" thickBot="1" x14ac:dyDescent="0.35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O30" s="63">
        <v>0</v>
      </c>
      <c r="P30" s="64"/>
      <c r="Q30" s="64"/>
      <c r="R30" s="65"/>
    </row>
    <row r="33" spans="1:18" x14ac:dyDescent="0.3">
      <c r="M33" t="s">
        <v>113</v>
      </c>
    </row>
    <row r="34" spans="1:18" ht="16.5" customHeight="1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</row>
    <row r="35" spans="1:18" ht="16.5" customHeigh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</row>
    <row r="36" spans="1:18" ht="16.5" customHeight="1" x14ac:dyDescent="0.3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</row>
    <row r="37" spans="1:18" ht="16.5" customHeight="1" x14ac:dyDescent="0.3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</row>
    <row r="38" spans="1:18" ht="16.5" customHeight="1" x14ac:dyDescent="0.3">
      <c r="A38" s="66" t="s">
        <v>112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</row>
    <row r="39" spans="1:18" ht="16.5" customHeight="1" x14ac:dyDescent="0.3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</row>
    <row r="40" spans="1:18" x14ac:dyDescent="0.3">
      <c r="A40" s="56" t="s">
        <v>122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  <row r="41" spans="1:18" x14ac:dyDescent="0.3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</row>
  </sheetData>
  <mergeCells count="113">
    <mergeCell ref="A1:R3"/>
    <mergeCell ref="A4:R4"/>
    <mergeCell ref="A5:B6"/>
    <mergeCell ref="C5:C6"/>
    <mergeCell ref="D5:D6"/>
    <mergeCell ref="E5:E6"/>
    <mergeCell ref="F5:K6"/>
    <mergeCell ref="L5:L6"/>
    <mergeCell ref="M5:P6"/>
    <mergeCell ref="Q5:R6"/>
    <mergeCell ref="K9:M9"/>
    <mergeCell ref="A10:C10"/>
    <mergeCell ref="D10:F10"/>
    <mergeCell ref="H10:J10"/>
    <mergeCell ref="K10:M10"/>
    <mergeCell ref="O10:R10"/>
    <mergeCell ref="A7:R7"/>
    <mergeCell ref="A8:C8"/>
    <mergeCell ref="D8:F8"/>
    <mergeCell ref="H8:J8"/>
    <mergeCell ref="K8:M8"/>
    <mergeCell ref="N8:N29"/>
    <mergeCell ref="O8:R9"/>
    <mergeCell ref="A9:C9"/>
    <mergeCell ref="D9:F9"/>
    <mergeCell ref="H9:J9"/>
    <mergeCell ref="A11:C11"/>
    <mergeCell ref="D11:F11"/>
    <mergeCell ref="H11:J11"/>
    <mergeCell ref="K11:M11"/>
    <mergeCell ref="O11:R11"/>
    <mergeCell ref="A12:C12"/>
    <mergeCell ref="D12:F12"/>
    <mergeCell ref="H12:J12"/>
    <mergeCell ref="K12:M12"/>
    <mergeCell ref="O12:R13"/>
    <mergeCell ref="O14:R14"/>
    <mergeCell ref="A15:C15"/>
    <mergeCell ref="D15:F15"/>
    <mergeCell ref="H15:J15"/>
    <mergeCell ref="K15:M15"/>
    <mergeCell ref="O15:R15"/>
    <mergeCell ref="A13:C13"/>
    <mergeCell ref="D13:F13"/>
    <mergeCell ref="H13:J13"/>
    <mergeCell ref="K13:M13"/>
    <mergeCell ref="A14:C14"/>
    <mergeCell ref="D14:F14"/>
    <mergeCell ref="H14:J14"/>
    <mergeCell ref="K14:M14"/>
    <mergeCell ref="A16:C16"/>
    <mergeCell ref="D16:F16"/>
    <mergeCell ref="H16:J16"/>
    <mergeCell ref="K16:M16"/>
    <mergeCell ref="O16:R17"/>
    <mergeCell ref="A17:C17"/>
    <mergeCell ref="D17:F17"/>
    <mergeCell ref="H17:J17"/>
    <mergeCell ref="K17:M17"/>
    <mergeCell ref="A18:C18"/>
    <mergeCell ref="D18:F18"/>
    <mergeCell ref="H18:J18"/>
    <mergeCell ref="K18:M18"/>
    <mergeCell ref="O18:R18"/>
    <mergeCell ref="A19:C19"/>
    <mergeCell ref="D19:F19"/>
    <mergeCell ref="H19:J19"/>
    <mergeCell ref="K19:M19"/>
    <mergeCell ref="O19:R19"/>
    <mergeCell ref="A20:C20"/>
    <mergeCell ref="D20:F20"/>
    <mergeCell ref="H20:J20"/>
    <mergeCell ref="K20:M20"/>
    <mergeCell ref="O20:R21"/>
    <mergeCell ref="A21:C21"/>
    <mergeCell ref="D21:F21"/>
    <mergeCell ref="H21:J21"/>
    <mergeCell ref="K21:M21"/>
    <mergeCell ref="A22:C22"/>
    <mergeCell ref="D22:F22"/>
    <mergeCell ref="H22:J22"/>
    <mergeCell ref="K22:M22"/>
    <mergeCell ref="O22:R22"/>
    <mergeCell ref="A23:C23"/>
    <mergeCell ref="D23:F23"/>
    <mergeCell ref="H23:J23"/>
    <mergeCell ref="K23:M23"/>
    <mergeCell ref="O23:R23"/>
    <mergeCell ref="A24:C24"/>
    <mergeCell ref="D24:F24"/>
    <mergeCell ref="H24:J24"/>
    <mergeCell ref="K24:M24"/>
    <mergeCell ref="O24:R25"/>
    <mergeCell ref="A25:C25"/>
    <mergeCell ref="D25:F25"/>
    <mergeCell ref="H25:J25"/>
    <mergeCell ref="K25:M25"/>
    <mergeCell ref="A40:R41"/>
    <mergeCell ref="O28:R29"/>
    <mergeCell ref="O30:R30"/>
    <mergeCell ref="A38:R39"/>
    <mergeCell ref="A28:M28"/>
    <mergeCell ref="A29:M30"/>
    <mergeCell ref="A26:C26"/>
    <mergeCell ref="D26:F26"/>
    <mergeCell ref="H26:J26"/>
    <mergeCell ref="K26:M26"/>
    <mergeCell ref="O26:R26"/>
    <mergeCell ref="A27:C27"/>
    <mergeCell ref="E27:F27"/>
    <mergeCell ref="H27:J27"/>
    <mergeCell ref="K27:M27"/>
    <mergeCell ref="O27:R27"/>
  </mergeCells>
  <phoneticPr fontId="1" type="noConversion"/>
  <pageMargins left="0.7" right="0.7" top="0.75" bottom="0.75" header="0.3" footer="0.3"/>
  <pageSetup paperSize="9"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32BB-D1F6-4E60-85F1-E61E27AA40B6}">
  <sheetPr>
    <tabColor theme="2" tint="-0.249977111117893"/>
  </sheetPr>
  <dimension ref="A1:R41"/>
  <sheetViews>
    <sheetView zoomScaleNormal="100" workbookViewId="0">
      <selection activeCell="AA24" sqref="AA24"/>
    </sheetView>
  </sheetViews>
  <sheetFormatPr defaultRowHeight="16.5" x14ac:dyDescent="0.3"/>
  <cols>
    <col min="1" max="6" width="4.625" customWidth="1"/>
    <col min="7" max="7" width="1" customWidth="1"/>
    <col min="8" max="23" width="4.625" customWidth="1"/>
  </cols>
  <sheetData>
    <row r="1" spans="1:18" ht="16.5" customHeight="1" x14ac:dyDescent="0.3">
      <c r="A1" s="86" t="s">
        <v>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8"/>
    </row>
    <row r="2" spans="1:18" ht="16.5" customHeight="1" x14ac:dyDescent="0.3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1"/>
    </row>
    <row r="3" spans="1:18" ht="16.5" customHeight="1" thickBot="1" x14ac:dyDescent="0.35">
      <c r="A3" s="92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4"/>
    </row>
    <row r="4" spans="1:18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</row>
    <row r="5" spans="1:18" ht="17.25" customHeight="1" x14ac:dyDescent="0.3">
      <c r="A5" s="96">
        <v>2026</v>
      </c>
      <c r="B5" s="96"/>
      <c r="C5" s="97" t="s">
        <v>60</v>
      </c>
      <c r="D5" s="96">
        <v>6</v>
      </c>
      <c r="E5" s="97" t="s">
        <v>61</v>
      </c>
      <c r="F5" s="96">
        <v>102</v>
      </c>
      <c r="G5" s="96"/>
      <c r="H5" s="96"/>
      <c r="I5" s="96"/>
      <c r="J5" s="96"/>
      <c r="K5" s="96"/>
      <c r="L5" s="97" t="s">
        <v>62</v>
      </c>
      <c r="M5" s="96" t="s">
        <v>58</v>
      </c>
      <c r="N5" s="96"/>
      <c r="O5" s="96"/>
      <c r="P5" s="96"/>
      <c r="Q5" s="98" t="s">
        <v>63</v>
      </c>
      <c r="R5" s="98"/>
    </row>
    <row r="6" spans="1:18" ht="16.5" customHeight="1" x14ac:dyDescent="0.3">
      <c r="A6" s="96"/>
      <c r="B6" s="96"/>
      <c r="C6" s="97"/>
      <c r="D6" s="96"/>
      <c r="E6" s="97"/>
      <c r="F6" s="96"/>
      <c r="G6" s="96"/>
      <c r="H6" s="96"/>
      <c r="I6" s="96"/>
      <c r="J6" s="96"/>
      <c r="K6" s="96"/>
      <c r="L6" s="97"/>
      <c r="M6" s="96"/>
      <c r="N6" s="96"/>
      <c r="O6" s="96"/>
      <c r="P6" s="96"/>
      <c r="Q6" s="98"/>
      <c r="R6" s="98"/>
    </row>
    <row r="7" spans="1:18" ht="17.25" thickBot="1" x14ac:dyDescent="0.35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</row>
    <row r="8" spans="1:18" ht="17.25" x14ac:dyDescent="0.3">
      <c r="A8" s="70" t="s">
        <v>25</v>
      </c>
      <c r="B8" s="70"/>
      <c r="C8" s="70"/>
      <c r="D8" s="71">
        <f>통합비용!C51</f>
        <v>124000</v>
      </c>
      <c r="E8" s="71"/>
      <c r="F8" s="71"/>
      <c r="G8" s="46"/>
      <c r="H8" s="70" t="s">
        <v>78</v>
      </c>
      <c r="I8" s="70"/>
      <c r="J8" s="70"/>
      <c r="K8" s="71">
        <f>통합비용!C18</f>
        <v>0</v>
      </c>
      <c r="L8" s="71"/>
      <c r="M8" s="71"/>
      <c r="N8" s="85"/>
      <c r="O8" s="57" t="s">
        <v>64</v>
      </c>
      <c r="P8" s="58"/>
      <c r="Q8" s="58"/>
      <c r="R8" s="59"/>
    </row>
    <row r="9" spans="1:18" ht="17.25" x14ac:dyDescent="0.3">
      <c r="A9" s="70"/>
      <c r="B9" s="70"/>
      <c r="C9" s="70"/>
      <c r="D9" s="71"/>
      <c r="E9" s="71"/>
      <c r="F9" s="71"/>
      <c r="G9" s="46"/>
      <c r="H9" s="70"/>
      <c r="I9" s="70"/>
      <c r="J9" s="70"/>
      <c r="K9" s="71"/>
      <c r="L9" s="71"/>
      <c r="M9" s="71"/>
      <c r="N9" s="85"/>
      <c r="O9" s="60"/>
      <c r="P9" s="61"/>
      <c r="Q9" s="61"/>
      <c r="R9" s="62"/>
    </row>
    <row r="10" spans="1:18" ht="18" thickBot="1" x14ac:dyDescent="0.35">
      <c r="A10" s="70" t="s">
        <v>69</v>
      </c>
      <c r="B10" s="70"/>
      <c r="C10" s="70"/>
      <c r="D10" s="71">
        <f>D8*10%</f>
        <v>12400</v>
      </c>
      <c r="E10" s="71"/>
      <c r="F10" s="71"/>
      <c r="G10" s="46"/>
      <c r="H10" s="70" t="s">
        <v>82</v>
      </c>
      <c r="I10" s="70"/>
      <c r="J10" s="70"/>
      <c r="K10" s="71">
        <f>통합비용!B18</f>
        <v>0</v>
      </c>
      <c r="L10" s="71"/>
      <c r="M10" s="71"/>
      <c r="N10" s="85"/>
      <c r="O10" s="81">
        <f>SUM(K8,K12,K14,K18,K20,K24,D8,D10,D12,D14,D16,D18,D20,D22,D24,D26)</f>
        <v>173538.23401993356</v>
      </c>
      <c r="P10" s="82"/>
      <c r="Q10" s="82"/>
      <c r="R10" s="83"/>
    </row>
    <row r="11" spans="1:18" ht="18" thickBot="1" x14ac:dyDescent="0.35">
      <c r="A11" s="70"/>
      <c r="B11" s="70"/>
      <c r="C11" s="70"/>
      <c r="D11" s="71"/>
      <c r="E11" s="71"/>
      <c r="F11" s="71"/>
      <c r="G11" s="46"/>
      <c r="H11" s="70"/>
      <c r="I11" s="70"/>
      <c r="J11" s="70"/>
      <c r="K11" s="71"/>
      <c r="L11" s="71"/>
      <c r="M11" s="71"/>
      <c r="N11" s="85"/>
      <c r="O11" s="61"/>
      <c r="P11" s="61"/>
      <c r="Q11" s="61"/>
      <c r="R11" s="61"/>
    </row>
    <row r="12" spans="1:18" ht="17.25" x14ac:dyDescent="0.3">
      <c r="A12" s="70" t="s">
        <v>70</v>
      </c>
      <c r="B12" s="70"/>
      <c r="C12" s="70"/>
      <c r="D12" s="71">
        <v>0</v>
      </c>
      <c r="E12" s="71"/>
      <c r="F12" s="71"/>
      <c r="G12" s="46"/>
      <c r="H12" s="70" t="s">
        <v>83</v>
      </c>
      <c r="I12" s="70"/>
      <c r="J12" s="70"/>
      <c r="K12" s="71">
        <v>0</v>
      </c>
      <c r="L12" s="71"/>
      <c r="M12" s="71"/>
      <c r="N12" s="85"/>
      <c r="O12" s="57" t="s">
        <v>65</v>
      </c>
      <c r="P12" s="58"/>
      <c r="Q12" s="58"/>
      <c r="R12" s="59"/>
    </row>
    <row r="13" spans="1:18" ht="17.25" x14ac:dyDescent="0.3">
      <c r="A13" s="70"/>
      <c r="B13" s="70"/>
      <c r="C13" s="70"/>
      <c r="D13" s="71"/>
      <c r="E13" s="71"/>
      <c r="F13" s="71"/>
      <c r="G13" s="46"/>
      <c r="H13" s="70"/>
      <c r="I13" s="70"/>
      <c r="J13" s="70"/>
      <c r="K13" s="71"/>
      <c r="L13" s="71"/>
      <c r="M13" s="71"/>
      <c r="N13" s="85"/>
      <c r="O13" s="60"/>
      <c r="P13" s="61"/>
      <c r="Q13" s="61"/>
      <c r="R13" s="62"/>
    </row>
    <row r="14" spans="1:18" ht="18" thickBot="1" x14ac:dyDescent="0.35">
      <c r="A14" s="70" t="s">
        <v>71</v>
      </c>
      <c r="B14" s="70"/>
      <c r="C14" s="70"/>
      <c r="D14" s="71">
        <v>0</v>
      </c>
      <c r="E14" s="71"/>
      <c r="F14" s="71"/>
      <c r="G14" s="46"/>
      <c r="H14" s="70" t="s">
        <v>84</v>
      </c>
      <c r="I14" s="70"/>
      <c r="J14" s="70"/>
      <c r="K14" s="71">
        <f>통합비용!H38</f>
        <v>20392.84</v>
      </c>
      <c r="L14" s="71"/>
      <c r="M14" s="71"/>
      <c r="N14" s="85"/>
      <c r="O14" s="63">
        <v>0</v>
      </c>
      <c r="P14" s="64"/>
      <c r="Q14" s="64"/>
      <c r="R14" s="65"/>
    </row>
    <row r="15" spans="1:18" ht="18" thickBot="1" x14ac:dyDescent="0.35">
      <c r="A15" s="70"/>
      <c r="B15" s="70"/>
      <c r="C15" s="70"/>
      <c r="D15" s="71"/>
      <c r="E15" s="71"/>
      <c r="F15" s="71"/>
      <c r="G15" s="46"/>
      <c r="H15" s="70"/>
      <c r="I15" s="70"/>
      <c r="J15" s="70"/>
      <c r="K15" s="71"/>
      <c r="L15" s="71"/>
      <c r="M15" s="71"/>
      <c r="N15" s="85"/>
      <c r="O15" s="61"/>
      <c r="P15" s="61"/>
      <c r="Q15" s="61"/>
      <c r="R15" s="61"/>
    </row>
    <row r="16" spans="1:18" ht="17.25" x14ac:dyDescent="0.3">
      <c r="A16" s="70" t="s">
        <v>72</v>
      </c>
      <c r="B16" s="70"/>
      <c r="C16" s="70"/>
      <c r="D16" s="71">
        <v>0</v>
      </c>
      <c r="E16" s="71"/>
      <c r="F16" s="71"/>
      <c r="G16" s="46"/>
      <c r="H16" s="70"/>
      <c r="I16" s="70"/>
      <c r="J16" s="70"/>
      <c r="K16" s="71"/>
      <c r="L16" s="71"/>
      <c r="M16" s="71"/>
      <c r="N16" s="85"/>
      <c r="O16" s="57" t="s">
        <v>66</v>
      </c>
      <c r="P16" s="58"/>
      <c r="Q16" s="58"/>
      <c r="R16" s="59"/>
    </row>
    <row r="17" spans="1:18" ht="17.25" x14ac:dyDescent="0.3">
      <c r="A17" s="70"/>
      <c r="B17" s="70"/>
      <c r="C17" s="70"/>
      <c r="D17" s="71"/>
      <c r="E17" s="71"/>
      <c r="F17" s="71"/>
      <c r="G17" s="46"/>
      <c r="H17" s="70"/>
      <c r="I17" s="70"/>
      <c r="J17" s="70"/>
      <c r="K17" s="71"/>
      <c r="L17" s="71"/>
      <c r="M17" s="71"/>
      <c r="N17" s="85"/>
      <c r="O17" s="60"/>
      <c r="P17" s="61"/>
      <c r="Q17" s="61"/>
      <c r="R17" s="62"/>
    </row>
    <row r="18" spans="1:18" ht="18" thickBot="1" x14ac:dyDescent="0.35">
      <c r="A18" s="70" t="s">
        <v>73</v>
      </c>
      <c r="B18" s="70"/>
      <c r="C18" s="70"/>
      <c r="D18" s="71">
        <v>0</v>
      </c>
      <c r="E18" s="71"/>
      <c r="F18" s="71"/>
      <c r="G18" s="46"/>
      <c r="H18" s="70" t="s">
        <v>85</v>
      </c>
      <c r="I18" s="70"/>
      <c r="J18" s="70"/>
      <c r="K18" s="71">
        <v>1320</v>
      </c>
      <c r="L18" s="71"/>
      <c r="M18" s="71"/>
      <c r="N18" s="85"/>
      <c r="O18" s="63">
        <v>0</v>
      </c>
      <c r="P18" s="64"/>
      <c r="Q18" s="64"/>
      <c r="R18" s="65"/>
    </row>
    <row r="19" spans="1:18" ht="18" thickBot="1" x14ac:dyDescent="0.35">
      <c r="A19" s="70"/>
      <c r="B19" s="70"/>
      <c r="C19" s="70"/>
      <c r="D19" s="71"/>
      <c r="E19" s="71"/>
      <c r="F19" s="71"/>
      <c r="G19" s="46"/>
      <c r="H19" s="70"/>
      <c r="I19" s="70"/>
      <c r="J19" s="70"/>
      <c r="K19" s="71"/>
      <c r="L19" s="71"/>
      <c r="M19" s="71"/>
      <c r="N19" s="85"/>
      <c r="O19" s="61"/>
      <c r="P19" s="61"/>
      <c r="Q19" s="61"/>
      <c r="R19" s="61"/>
    </row>
    <row r="20" spans="1:18" ht="17.25" x14ac:dyDescent="0.3">
      <c r="A20" s="70" t="s">
        <v>74</v>
      </c>
      <c r="B20" s="70"/>
      <c r="C20" s="70"/>
      <c r="D20" s="71">
        <v>0</v>
      </c>
      <c r="E20" s="71"/>
      <c r="F20" s="71"/>
      <c r="G20" s="46"/>
      <c r="H20" s="70" t="s">
        <v>86</v>
      </c>
      <c r="I20" s="70"/>
      <c r="J20" s="70"/>
      <c r="K20" s="71">
        <v>0</v>
      </c>
      <c r="L20" s="71"/>
      <c r="M20" s="71"/>
      <c r="N20" s="85"/>
      <c r="O20" s="57" t="s">
        <v>67</v>
      </c>
      <c r="P20" s="58"/>
      <c r="Q20" s="58"/>
      <c r="R20" s="59"/>
    </row>
    <row r="21" spans="1:18" ht="17.25" x14ac:dyDescent="0.3">
      <c r="A21" s="70"/>
      <c r="B21" s="70"/>
      <c r="C21" s="70"/>
      <c r="D21" s="71"/>
      <c r="E21" s="71"/>
      <c r="F21" s="71"/>
      <c r="G21" s="46"/>
      <c r="H21" s="70"/>
      <c r="I21" s="70"/>
      <c r="J21" s="70"/>
      <c r="K21" s="71"/>
      <c r="L21" s="71"/>
      <c r="M21" s="71"/>
      <c r="N21" s="85"/>
      <c r="O21" s="60"/>
      <c r="P21" s="61"/>
      <c r="Q21" s="61"/>
      <c r="R21" s="62"/>
    </row>
    <row r="22" spans="1:18" ht="18" thickBot="1" x14ac:dyDescent="0.35">
      <c r="A22" s="70" t="s">
        <v>75</v>
      </c>
      <c r="B22" s="70"/>
      <c r="C22" s="70"/>
      <c r="D22" s="71">
        <v>0</v>
      </c>
      <c r="E22" s="71"/>
      <c r="F22" s="71"/>
      <c r="G22" s="46"/>
      <c r="H22" s="70"/>
      <c r="I22" s="70"/>
      <c r="J22" s="70"/>
      <c r="K22" s="71"/>
      <c r="L22" s="71"/>
      <c r="M22" s="71"/>
      <c r="N22" s="85"/>
      <c r="O22" s="75">
        <f>SUM(O10,O14,O18)</f>
        <v>173538.23401993356</v>
      </c>
      <c r="P22" s="76"/>
      <c r="Q22" s="76"/>
      <c r="R22" s="77"/>
    </row>
    <row r="23" spans="1:18" ht="18" thickBot="1" x14ac:dyDescent="0.35">
      <c r="A23" s="70"/>
      <c r="B23" s="70"/>
      <c r="C23" s="70"/>
      <c r="D23" s="71"/>
      <c r="E23" s="71"/>
      <c r="F23" s="71"/>
      <c r="G23" s="46"/>
      <c r="H23" s="70"/>
      <c r="I23" s="70"/>
      <c r="J23" s="70"/>
      <c r="K23" s="71"/>
      <c r="L23" s="71"/>
      <c r="M23" s="71"/>
      <c r="N23" s="85"/>
      <c r="O23" s="61"/>
      <c r="P23" s="61"/>
      <c r="Q23" s="61"/>
      <c r="R23" s="61"/>
    </row>
    <row r="24" spans="1:18" ht="17.25" x14ac:dyDescent="0.3">
      <c r="A24" s="70" t="s">
        <v>76</v>
      </c>
      <c r="B24" s="70"/>
      <c r="C24" s="70"/>
      <c r="D24" s="71">
        <v>0</v>
      </c>
      <c r="E24" s="71"/>
      <c r="F24" s="71"/>
      <c r="G24" s="46"/>
      <c r="H24" s="70" t="s">
        <v>87</v>
      </c>
      <c r="I24" s="70"/>
      <c r="J24" s="70"/>
      <c r="K24" s="71">
        <v>0</v>
      </c>
      <c r="L24" s="71"/>
      <c r="M24" s="71"/>
      <c r="N24" s="85"/>
      <c r="O24" s="57" t="s">
        <v>88</v>
      </c>
      <c r="P24" s="58"/>
      <c r="Q24" s="58"/>
      <c r="R24" s="59"/>
    </row>
    <row r="25" spans="1:18" ht="17.25" x14ac:dyDescent="0.3">
      <c r="A25" s="70"/>
      <c r="B25" s="70"/>
      <c r="C25" s="70"/>
      <c r="D25" s="71"/>
      <c r="E25" s="71"/>
      <c r="F25" s="71"/>
      <c r="G25" s="46"/>
      <c r="H25" s="70"/>
      <c r="I25" s="70"/>
      <c r="J25" s="70"/>
      <c r="K25" s="71"/>
      <c r="L25" s="71"/>
      <c r="M25" s="71"/>
      <c r="N25" s="85"/>
      <c r="O25" s="60"/>
      <c r="P25" s="61"/>
      <c r="Q25" s="61"/>
      <c r="R25" s="62"/>
    </row>
    <row r="26" spans="1:18" ht="18" thickBot="1" x14ac:dyDescent="0.35">
      <c r="A26" s="70" t="s">
        <v>77</v>
      </c>
      <c r="B26" s="70"/>
      <c r="C26" s="70"/>
      <c r="D26" s="71">
        <f>통합비용!G18</f>
        <v>15425.394019933552</v>
      </c>
      <c r="E26" s="71"/>
      <c r="F26" s="71"/>
      <c r="G26" s="46"/>
      <c r="H26" s="70"/>
      <c r="I26" s="70"/>
      <c r="J26" s="70"/>
      <c r="K26" s="71"/>
      <c r="L26" s="71"/>
      <c r="M26" s="71"/>
      <c r="N26" s="85"/>
      <c r="O26" s="72">
        <v>1.5</v>
      </c>
      <c r="P26" s="73"/>
      <c r="Q26" s="73"/>
      <c r="R26" s="74"/>
    </row>
    <row r="27" spans="1:18" ht="18" thickBot="1" x14ac:dyDescent="0.35">
      <c r="A27" s="70"/>
      <c r="B27" s="70"/>
      <c r="C27" s="70"/>
      <c r="D27" s="47"/>
      <c r="E27" s="71"/>
      <c r="F27" s="71"/>
      <c r="G27" s="46"/>
      <c r="H27" s="70"/>
      <c r="I27" s="70"/>
      <c r="J27" s="70"/>
      <c r="K27" s="70"/>
      <c r="L27" s="70"/>
      <c r="M27" s="70"/>
      <c r="N27" s="85"/>
      <c r="O27" s="61"/>
      <c r="P27" s="61"/>
      <c r="Q27" s="61"/>
      <c r="R27" s="61"/>
    </row>
    <row r="28" spans="1:18" ht="18" thickTop="1" x14ac:dyDescent="0.3">
      <c r="A28" s="67" t="s">
        <v>90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9"/>
      <c r="N28" s="85"/>
      <c r="O28" s="57" t="s">
        <v>89</v>
      </c>
      <c r="P28" s="58"/>
      <c r="Q28" s="58"/>
      <c r="R28" s="59"/>
    </row>
    <row r="29" spans="1:18" ht="18" customHeight="1" x14ac:dyDescent="0.3">
      <c r="A29" s="70" t="s">
        <v>130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85"/>
      <c r="O29" s="60"/>
      <c r="P29" s="61"/>
      <c r="Q29" s="61"/>
      <c r="R29" s="62"/>
    </row>
    <row r="30" spans="1:18" ht="18" thickBot="1" x14ac:dyDescent="0.35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O30" s="63">
        <v>0</v>
      </c>
      <c r="P30" s="64"/>
      <c r="Q30" s="64"/>
      <c r="R30" s="65"/>
    </row>
    <row r="33" spans="1:18" x14ac:dyDescent="0.3">
      <c r="M33" t="s">
        <v>113</v>
      </c>
    </row>
    <row r="34" spans="1:18" ht="16.5" customHeight="1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</row>
    <row r="35" spans="1:18" ht="16.5" customHeigh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</row>
    <row r="36" spans="1:18" ht="16.5" customHeight="1" x14ac:dyDescent="0.3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</row>
    <row r="37" spans="1:18" ht="16.5" customHeight="1" x14ac:dyDescent="0.3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</row>
    <row r="38" spans="1:18" ht="16.5" customHeight="1" x14ac:dyDescent="0.3">
      <c r="A38" s="66" t="s">
        <v>112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</row>
    <row r="39" spans="1:18" ht="16.5" customHeight="1" x14ac:dyDescent="0.3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</row>
    <row r="40" spans="1:18" x14ac:dyDescent="0.3">
      <c r="A40" s="56" t="s">
        <v>122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  <row r="41" spans="1:18" x14ac:dyDescent="0.3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</row>
  </sheetData>
  <mergeCells count="113">
    <mergeCell ref="A1:R3"/>
    <mergeCell ref="A4:R4"/>
    <mergeCell ref="A5:B6"/>
    <mergeCell ref="C5:C6"/>
    <mergeCell ref="D5:D6"/>
    <mergeCell ref="E5:E6"/>
    <mergeCell ref="F5:K6"/>
    <mergeCell ref="L5:L6"/>
    <mergeCell ref="M5:P6"/>
    <mergeCell ref="Q5:R6"/>
    <mergeCell ref="K9:M9"/>
    <mergeCell ref="A10:C10"/>
    <mergeCell ref="D10:F10"/>
    <mergeCell ref="H10:J10"/>
    <mergeCell ref="K10:M10"/>
    <mergeCell ref="O10:R10"/>
    <mergeCell ref="A7:R7"/>
    <mergeCell ref="A8:C8"/>
    <mergeCell ref="D8:F8"/>
    <mergeCell ref="H8:J8"/>
    <mergeCell ref="K8:M8"/>
    <mergeCell ref="N8:N29"/>
    <mergeCell ref="O8:R9"/>
    <mergeCell ref="A9:C9"/>
    <mergeCell ref="D9:F9"/>
    <mergeCell ref="H9:J9"/>
    <mergeCell ref="A11:C11"/>
    <mergeCell ref="D11:F11"/>
    <mergeCell ref="H11:J11"/>
    <mergeCell ref="K11:M11"/>
    <mergeCell ref="O11:R11"/>
    <mergeCell ref="A12:C12"/>
    <mergeCell ref="D12:F12"/>
    <mergeCell ref="H12:J12"/>
    <mergeCell ref="K12:M12"/>
    <mergeCell ref="O12:R13"/>
    <mergeCell ref="O14:R14"/>
    <mergeCell ref="A15:C15"/>
    <mergeCell ref="D15:F15"/>
    <mergeCell ref="H15:J15"/>
    <mergeCell ref="K15:M15"/>
    <mergeCell ref="O15:R15"/>
    <mergeCell ref="A13:C13"/>
    <mergeCell ref="D13:F13"/>
    <mergeCell ref="H13:J13"/>
    <mergeCell ref="K13:M13"/>
    <mergeCell ref="A14:C14"/>
    <mergeCell ref="D14:F14"/>
    <mergeCell ref="H14:J14"/>
    <mergeCell ref="K14:M14"/>
    <mergeCell ref="A16:C16"/>
    <mergeCell ref="D16:F16"/>
    <mergeCell ref="H16:J16"/>
    <mergeCell ref="K16:M16"/>
    <mergeCell ref="O16:R17"/>
    <mergeCell ref="A17:C17"/>
    <mergeCell ref="D17:F17"/>
    <mergeCell ref="H17:J17"/>
    <mergeCell ref="K17:M17"/>
    <mergeCell ref="A18:C18"/>
    <mergeCell ref="D18:F18"/>
    <mergeCell ref="H18:J18"/>
    <mergeCell ref="K18:M18"/>
    <mergeCell ref="O18:R18"/>
    <mergeCell ref="A19:C19"/>
    <mergeCell ref="D19:F19"/>
    <mergeCell ref="H19:J19"/>
    <mergeCell ref="K19:M19"/>
    <mergeCell ref="O19:R19"/>
    <mergeCell ref="A20:C20"/>
    <mergeCell ref="D20:F20"/>
    <mergeCell ref="H20:J20"/>
    <mergeCell ref="K20:M20"/>
    <mergeCell ref="O20:R21"/>
    <mergeCell ref="A21:C21"/>
    <mergeCell ref="D21:F21"/>
    <mergeCell ref="H21:J21"/>
    <mergeCell ref="K21:M21"/>
    <mergeCell ref="A22:C22"/>
    <mergeCell ref="D22:F22"/>
    <mergeCell ref="H22:J22"/>
    <mergeCell ref="K22:M22"/>
    <mergeCell ref="O22:R22"/>
    <mergeCell ref="A23:C23"/>
    <mergeCell ref="D23:F23"/>
    <mergeCell ref="H23:J23"/>
    <mergeCell ref="K23:M23"/>
    <mergeCell ref="O23:R23"/>
    <mergeCell ref="A24:C24"/>
    <mergeCell ref="D24:F24"/>
    <mergeCell ref="H24:J24"/>
    <mergeCell ref="K24:M24"/>
    <mergeCell ref="O24:R25"/>
    <mergeCell ref="A25:C25"/>
    <mergeCell ref="D25:F25"/>
    <mergeCell ref="H25:J25"/>
    <mergeCell ref="K25:M25"/>
    <mergeCell ref="A40:R41"/>
    <mergeCell ref="O28:R29"/>
    <mergeCell ref="O30:R30"/>
    <mergeCell ref="A38:R39"/>
    <mergeCell ref="A29:M30"/>
    <mergeCell ref="A28:M28"/>
    <mergeCell ref="A26:C26"/>
    <mergeCell ref="D26:F26"/>
    <mergeCell ref="H26:J26"/>
    <mergeCell ref="K26:M26"/>
    <mergeCell ref="O26:R26"/>
    <mergeCell ref="A27:C27"/>
    <mergeCell ref="E27:F27"/>
    <mergeCell ref="H27:J27"/>
    <mergeCell ref="K27:M27"/>
    <mergeCell ref="O27:R27"/>
  </mergeCells>
  <phoneticPr fontId="1" type="noConversion"/>
  <pageMargins left="0.7" right="0.7" top="0.75" bottom="0.75" header="0.3" footer="0.3"/>
  <pageSetup paperSize="9"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2CE2-7739-4730-A3B7-01C3180A6E06}">
  <sheetPr>
    <tabColor rgb="FF002060"/>
  </sheetPr>
  <dimension ref="A1:R41"/>
  <sheetViews>
    <sheetView zoomScaleNormal="100" workbookViewId="0">
      <selection activeCell="A29" sqref="A29:M30"/>
    </sheetView>
  </sheetViews>
  <sheetFormatPr defaultRowHeight="16.5" x14ac:dyDescent="0.3"/>
  <cols>
    <col min="1" max="6" width="4.625" customWidth="1"/>
    <col min="7" max="7" width="1" customWidth="1"/>
    <col min="8" max="23" width="4.625" customWidth="1"/>
  </cols>
  <sheetData>
    <row r="1" spans="1:18" ht="16.5" customHeight="1" x14ac:dyDescent="0.3">
      <c r="A1" s="86" t="s">
        <v>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8"/>
    </row>
    <row r="2" spans="1:18" ht="16.5" customHeight="1" x14ac:dyDescent="0.3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1"/>
    </row>
    <row r="3" spans="1:18" ht="16.5" customHeight="1" thickBot="1" x14ac:dyDescent="0.35">
      <c r="A3" s="92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4"/>
    </row>
    <row r="4" spans="1:18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</row>
    <row r="5" spans="1:18" ht="17.25" customHeight="1" x14ac:dyDescent="0.3">
      <c r="A5" s="96">
        <v>2026</v>
      </c>
      <c r="B5" s="96"/>
      <c r="C5" s="97" t="s">
        <v>60</v>
      </c>
      <c r="D5" s="96">
        <v>7</v>
      </c>
      <c r="E5" s="97" t="s">
        <v>61</v>
      </c>
      <c r="F5" s="96">
        <v>103</v>
      </c>
      <c r="G5" s="96"/>
      <c r="H5" s="96"/>
      <c r="I5" s="96"/>
      <c r="J5" s="96"/>
      <c r="K5" s="96"/>
      <c r="L5" s="97" t="s">
        <v>62</v>
      </c>
      <c r="M5" s="96" t="s">
        <v>53</v>
      </c>
      <c r="N5" s="96"/>
      <c r="O5" s="96"/>
      <c r="P5" s="96"/>
      <c r="Q5" s="98" t="s">
        <v>63</v>
      </c>
      <c r="R5" s="98"/>
    </row>
    <row r="6" spans="1:18" ht="16.5" customHeight="1" x14ac:dyDescent="0.3">
      <c r="A6" s="96"/>
      <c r="B6" s="96"/>
      <c r="C6" s="97"/>
      <c r="D6" s="96"/>
      <c r="E6" s="97"/>
      <c r="F6" s="96"/>
      <c r="G6" s="96"/>
      <c r="H6" s="96"/>
      <c r="I6" s="96"/>
      <c r="J6" s="96"/>
      <c r="K6" s="96"/>
      <c r="L6" s="97"/>
      <c r="M6" s="96"/>
      <c r="N6" s="96"/>
      <c r="O6" s="96"/>
      <c r="P6" s="96"/>
      <c r="Q6" s="98"/>
      <c r="R6" s="98"/>
    </row>
    <row r="7" spans="1:18" ht="17.25" thickBot="1" x14ac:dyDescent="0.35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</row>
    <row r="8" spans="1:18" ht="17.25" x14ac:dyDescent="0.3">
      <c r="A8" s="70" t="s">
        <v>25</v>
      </c>
      <c r="B8" s="70"/>
      <c r="C8" s="70"/>
      <c r="D8" s="71">
        <f>통합비용!C47</f>
        <v>248000</v>
      </c>
      <c r="E8" s="71"/>
      <c r="F8" s="71"/>
      <c r="G8" s="46"/>
      <c r="H8" s="70" t="s">
        <v>78</v>
      </c>
      <c r="I8" s="70"/>
      <c r="J8" s="70"/>
      <c r="K8" s="71">
        <f>통합비용!C14</f>
        <v>35086.710963455153</v>
      </c>
      <c r="L8" s="71"/>
      <c r="M8" s="71"/>
      <c r="N8" s="85"/>
      <c r="O8" s="57" t="s">
        <v>64</v>
      </c>
      <c r="P8" s="58"/>
      <c r="Q8" s="58"/>
      <c r="R8" s="59"/>
    </row>
    <row r="9" spans="1:18" ht="17.25" x14ac:dyDescent="0.3">
      <c r="A9" s="70"/>
      <c r="B9" s="70"/>
      <c r="C9" s="70"/>
      <c r="D9" s="71"/>
      <c r="E9" s="71"/>
      <c r="F9" s="71"/>
      <c r="G9" s="46"/>
      <c r="H9" s="70"/>
      <c r="I9" s="70"/>
      <c r="J9" s="70"/>
      <c r="K9" s="71"/>
      <c r="L9" s="71"/>
      <c r="M9" s="71"/>
      <c r="N9" s="85"/>
      <c r="O9" s="60"/>
      <c r="P9" s="61"/>
      <c r="Q9" s="61"/>
      <c r="R9" s="62"/>
    </row>
    <row r="10" spans="1:18" ht="18" thickBot="1" x14ac:dyDescent="0.35">
      <c r="A10" s="70" t="s">
        <v>69</v>
      </c>
      <c r="B10" s="70"/>
      <c r="C10" s="70"/>
      <c r="D10" s="71">
        <f>D8*10%</f>
        <v>24800</v>
      </c>
      <c r="E10" s="71"/>
      <c r="F10" s="71"/>
      <c r="G10" s="46"/>
      <c r="H10" s="70" t="s">
        <v>82</v>
      </c>
      <c r="I10" s="70"/>
      <c r="J10" s="70"/>
      <c r="K10" s="71">
        <f>통합비용!B14</f>
        <v>11</v>
      </c>
      <c r="L10" s="71"/>
      <c r="M10" s="71"/>
      <c r="N10" s="85"/>
      <c r="O10" s="81">
        <f>SUM(K8,K12,K14,K18,K20,K24,D8,D10,D12,D14,D16,D18,D20,D22,D24,D26)</f>
        <v>395939.42285714287</v>
      </c>
      <c r="P10" s="82"/>
      <c r="Q10" s="82"/>
      <c r="R10" s="83"/>
    </row>
    <row r="11" spans="1:18" ht="18" thickBot="1" x14ac:dyDescent="0.35">
      <c r="A11" s="70"/>
      <c r="B11" s="70"/>
      <c r="C11" s="70"/>
      <c r="D11" s="71"/>
      <c r="E11" s="71"/>
      <c r="F11" s="71"/>
      <c r="G11" s="46"/>
      <c r="H11" s="70"/>
      <c r="I11" s="70"/>
      <c r="J11" s="70"/>
      <c r="K11" s="71"/>
      <c r="L11" s="71"/>
      <c r="M11" s="71"/>
      <c r="N11" s="85"/>
      <c r="O11" s="61"/>
      <c r="P11" s="61"/>
      <c r="Q11" s="61"/>
      <c r="R11" s="61"/>
    </row>
    <row r="12" spans="1:18" ht="17.25" x14ac:dyDescent="0.3">
      <c r="A12" s="70" t="s">
        <v>70</v>
      </c>
      <c r="B12" s="70"/>
      <c r="C12" s="70"/>
      <c r="D12" s="71">
        <v>0</v>
      </c>
      <c r="E12" s="71"/>
      <c r="F12" s="71"/>
      <c r="G12" s="46"/>
      <c r="H12" s="70" t="s">
        <v>83</v>
      </c>
      <c r="I12" s="70"/>
      <c r="J12" s="70"/>
      <c r="K12" s="71">
        <v>0</v>
      </c>
      <c r="L12" s="71"/>
      <c r="M12" s="71"/>
      <c r="N12" s="85"/>
      <c r="O12" s="57" t="s">
        <v>65</v>
      </c>
      <c r="P12" s="58"/>
      <c r="Q12" s="58"/>
      <c r="R12" s="59"/>
    </row>
    <row r="13" spans="1:18" ht="17.25" x14ac:dyDescent="0.3">
      <c r="A13" s="70"/>
      <c r="B13" s="70"/>
      <c r="C13" s="70"/>
      <c r="D13" s="71"/>
      <c r="E13" s="71"/>
      <c r="F13" s="71"/>
      <c r="G13" s="46"/>
      <c r="H13" s="70"/>
      <c r="I13" s="70"/>
      <c r="J13" s="70"/>
      <c r="K13" s="71"/>
      <c r="L13" s="71"/>
      <c r="M13" s="71"/>
      <c r="N13" s="85"/>
      <c r="O13" s="60"/>
      <c r="P13" s="61"/>
      <c r="Q13" s="61"/>
      <c r="R13" s="62"/>
    </row>
    <row r="14" spans="1:18" ht="18" thickBot="1" x14ac:dyDescent="0.35">
      <c r="A14" s="70" t="s">
        <v>71</v>
      </c>
      <c r="B14" s="70"/>
      <c r="C14" s="70"/>
      <c r="D14" s="71">
        <v>0</v>
      </c>
      <c r="E14" s="71"/>
      <c r="F14" s="71"/>
      <c r="G14" s="46"/>
      <c r="H14" s="70" t="s">
        <v>84</v>
      </c>
      <c r="I14" s="70"/>
      <c r="J14" s="70"/>
      <c r="K14" s="71">
        <f>통합비용!H34</f>
        <v>48629.08</v>
      </c>
      <c r="L14" s="71"/>
      <c r="M14" s="71"/>
      <c r="N14" s="85"/>
      <c r="O14" s="63">
        <v>0</v>
      </c>
      <c r="P14" s="64"/>
      <c r="Q14" s="64"/>
      <c r="R14" s="65"/>
    </row>
    <row r="15" spans="1:18" ht="18" thickBot="1" x14ac:dyDescent="0.35">
      <c r="A15" s="70"/>
      <c r="B15" s="70"/>
      <c r="C15" s="70"/>
      <c r="D15" s="71"/>
      <c r="E15" s="71"/>
      <c r="F15" s="71"/>
      <c r="G15" s="46"/>
      <c r="H15" s="70"/>
      <c r="I15" s="70"/>
      <c r="J15" s="70"/>
      <c r="K15" s="71"/>
      <c r="L15" s="71"/>
      <c r="M15" s="71"/>
      <c r="N15" s="85"/>
      <c r="O15" s="61"/>
      <c r="P15" s="61"/>
      <c r="Q15" s="61"/>
      <c r="R15" s="61"/>
    </row>
    <row r="16" spans="1:18" ht="17.25" x14ac:dyDescent="0.3">
      <c r="A16" s="70" t="s">
        <v>72</v>
      </c>
      <c r="B16" s="70"/>
      <c r="C16" s="70"/>
      <c r="D16" s="71">
        <v>0</v>
      </c>
      <c r="E16" s="71"/>
      <c r="F16" s="71"/>
      <c r="G16" s="46"/>
      <c r="H16" s="70"/>
      <c r="I16" s="70"/>
      <c r="J16" s="70"/>
      <c r="K16" s="71"/>
      <c r="L16" s="71"/>
      <c r="M16" s="71"/>
      <c r="N16" s="85"/>
      <c r="O16" s="57" t="s">
        <v>66</v>
      </c>
      <c r="P16" s="58"/>
      <c r="Q16" s="58"/>
      <c r="R16" s="59"/>
    </row>
    <row r="17" spans="1:18" ht="17.25" x14ac:dyDescent="0.3">
      <c r="A17" s="70"/>
      <c r="B17" s="70"/>
      <c r="C17" s="70"/>
      <c r="D17" s="71"/>
      <c r="E17" s="71"/>
      <c r="F17" s="71"/>
      <c r="G17" s="46"/>
      <c r="H17" s="70"/>
      <c r="I17" s="70"/>
      <c r="J17" s="70"/>
      <c r="K17" s="71"/>
      <c r="L17" s="71"/>
      <c r="M17" s="71"/>
      <c r="N17" s="85"/>
      <c r="O17" s="60"/>
      <c r="P17" s="61"/>
      <c r="Q17" s="61"/>
      <c r="R17" s="62"/>
    </row>
    <row r="18" spans="1:18" ht="18" thickBot="1" x14ac:dyDescent="0.35">
      <c r="A18" s="70" t="s">
        <v>73</v>
      </c>
      <c r="B18" s="70"/>
      <c r="C18" s="70"/>
      <c r="D18" s="71">
        <v>0</v>
      </c>
      <c r="E18" s="71"/>
      <c r="F18" s="71"/>
      <c r="G18" s="46"/>
      <c r="H18" s="70" t="s">
        <v>85</v>
      </c>
      <c r="I18" s="70"/>
      <c r="J18" s="70"/>
      <c r="K18" s="71">
        <v>2640</v>
      </c>
      <c r="L18" s="71"/>
      <c r="M18" s="71"/>
      <c r="N18" s="85"/>
      <c r="O18" s="63">
        <v>0</v>
      </c>
      <c r="P18" s="64"/>
      <c r="Q18" s="64"/>
      <c r="R18" s="65"/>
    </row>
    <row r="19" spans="1:18" ht="18" thickBot="1" x14ac:dyDescent="0.35">
      <c r="A19" s="70"/>
      <c r="B19" s="70"/>
      <c r="C19" s="70"/>
      <c r="D19" s="71"/>
      <c r="E19" s="71"/>
      <c r="F19" s="71"/>
      <c r="G19" s="46"/>
      <c r="H19" s="70"/>
      <c r="I19" s="70"/>
      <c r="J19" s="70"/>
      <c r="K19" s="71"/>
      <c r="L19" s="71"/>
      <c r="M19" s="71"/>
      <c r="N19" s="85"/>
      <c r="O19" s="61"/>
      <c r="P19" s="61"/>
      <c r="Q19" s="61"/>
      <c r="R19" s="61"/>
    </row>
    <row r="20" spans="1:18" ht="17.25" x14ac:dyDescent="0.3">
      <c r="A20" s="70" t="s">
        <v>74</v>
      </c>
      <c r="B20" s="70"/>
      <c r="C20" s="70"/>
      <c r="D20" s="71">
        <v>0</v>
      </c>
      <c r="E20" s="71"/>
      <c r="F20" s="71"/>
      <c r="G20" s="46"/>
      <c r="H20" s="70" t="s">
        <v>124</v>
      </c>
      <c r="I20" s="70"/>
      <c r="J20" s="70"/>
      <c r="K20" s="71">
        <v>0</v>
      </c>
      <c r="L20" s="71"/>
      <c r="M20" s="71"/>
      <c r="N20" s="85"/>
      <c r="O20" s="57" t="s">
        <v>67</v>
      </c>
      <c r="P20" s="58"/>
      <c r="Q20" s="58"/>
      <c r="R20" s="59"/>
    </row>
    <row r="21" spans="1:18" ht="17.25" x14ac:dyDescent="0.3">
      <c r="A21" s="70"/>
      <c r="B21" s="70"/>
      <c r="C21" s="70"/>
      <c r="D21" s="71"/>
      <c r="E21" s="71"/>
      <c r="F21" s="71"/>
      <c r="G21" s="46"/>
      <c r="H21" s="70"/>
      <c r="I21" s="70"/>
      <c r="J21" s="70"/>
      <c r="K21" s="71"/>
      <c r="L21" s="71"/>
      <c r="M21" s="71"/>
      <c r="N21" s="85"/>
      <c r="O21" s="60"/>
      <c r="P21" s="61"/>
      <c r="Q21" s="61"/>
      <c r="R21" s="62"/>
    </row>
    <row r="22" spans="1:18" ht="18" thickBot="1" x14ac:dyDescent="0.35">
      <c r="A22" s="70" t="s">
        <v>75</v>
      </c>
      <c r="B22" s="70"/>
      <c r="C22" s="70"/>
      <c r="D22" s="71">
        <v>0</v>
      </c>
      <c r="E22" s="71"/>
      <c r="F22" s="71"/>
      <c r="G22" s="46"/>
      <c r="H22" s="70"/>
      <c r="I22" s="70"/>
      <c r="J22" s="70"/>
      <c r="K22" s="71"/>
      <c r="L22" s="71"/>
      <c r="M22" s="71"/>
      <c r="N22" s="85"/>
      <c r="O22" s="75">
        <f>SUM(O10,O14,O18)</f>
        <v>395939.42285714287</v>
      </c>
      <c r="P22" s="76"/>
      <c r="Q22" s="76"/>
      <c r="R22" s="77"/>
    </row>
    <row r="23" spans="1:18" ht="18" thickBot="1" x14ac:dyDescent="0.35">
      <c r="A23" s="70"/>
      <c r="B23" s="70"/>
      <c r="C23" s="70"/>
      <c r="D23" s="71"/>
      <c r="E23" s="71"/>
      <c r="F23" s="71"/>
      <c r="G23" s="46"/>
      <c r="H23" s="70"/>
      <c r="I23" s="70"/>
      <c r="J23" s="70"/>
      <c r="K23" s="71"/>
      <c r="L23" s="71"/>
      <c r="M23" s="71"/>
      <c r="N23" s="85"/>
      <c r="O23" s="61"/>
      <c r="P23" s="61"/>
      <c r="Q23" s="61"/>
      <c r="R23" s="61"/>
    </row>
    <row r="24" spans="1:18" ht="17.25" x14ac:dyDescent="0.3">
      <c r="A24" s="70" t="s">
        <v>76</v>
      </c>
      <c r="B24" s="70"/>
      <c r="C24" s="70"/>
      <c r="D24" s="71">
        <v>0</v>
      </c>
      <c r="E24" s="71"/>
      <c r="F24" s="71"/>
      <c r="G24" s="46"/>
      <c r="H24" s="70" t="s">
        <v>87</v>
      </c>
      <c r="I24" s="70"/>
      <c r="J24" s="70"/>
      <c r="K24" s="71">
        <v>0</v>
      </c>
      <c r="L24" s="71"/>
      <c r="M24" s="71"/>
      <c r="N24" s="85"/>
      <c r="O24" s="57" t="s">
        <v>88</v>
      </c>
      <c r="P24" s="58"/>
      <c r="Q24" s="58"/>
      <c r="R24" s="59"/>
    </row>
    <row r="25" spans="1:18" ht="17.25" x14ac:dyDescent="0.3">
      <c r="A25" s="70"/>
      <c r="B25" s="70"/>
      <c r="C25" s="70"/>
      <c r="D25" s="71"/>
      <c r="E25" s="71"/>
      <c r="F25" s="71"/>
      <c r="G25" s="46"/>
      <c r="H25" s="70"/>
      <c r="I25" s="70"/>
      <c r="J25" s="70"/>
      <c r="K25" s="71"/>
      <c r="L25" s="71"/>
      <c r="M25" s="71"/>
      <c r="N25" s="85"/>
      <c r="O25" s="60"/>
      <c r="P25" s="61"/>
      <c r="Q25" s="61"/>
      <c r="R25" s="62"/>
    </row>
    <row r="26" spans="1:18" ht="18" thickBot="1" x14ac:dyDescent="0.35">
      <c r="A26" s="70" t="s">
        <v>77</v>
      </c>
      <c r="B26" s="70"/>
      <c r="C26" s="70"/>
      <c r="D26" s="71">
        <f>통합비용!G14</f>
        <v>36783.6318936877</v>
      </c>
      <c r="E26" s="71"/>
      <c r="F26" s="71"/>
      <c r="G26" s="46"/>
      <c r="H26" s="70"/>
      <c r="I26" s="70"/>
      <c r="J26" s="70"/>
      <c r="K26" s="71"/>
      <c r="L26" s="71"/>
      <c r="M26" s="71"/>
      <c r="N26" s="85"/>
      <c r="O26" s="72">
        <v>1.5</v>
      </c>
      <c r="P26" s="73"/>
      <c r="Q26" s="73"/>
      <c r="R26" s="74"/>
    </row>
    <row r="27" spans="1:18" ht="18" thickBot="1" x14ac:dyDescent="0.35">
      <c r="A27" s="70"/>
      <c r="B27" s="70"/>
      <c r="C27" s="70"/>
      <c r="D27" s="47"/>
      <c r="E27" s="71"/>
      <c r="F27" s="71"/>
      <c r="G27" s="46"/>
      <c r="H27" s="70"/>
      <c r="I27" s="70"/>
      <c r="J27" s="70"/>
      <c r="K27" s="70"/>
      <c r="L27" s="70"/>
      <c r="M27" s="70"/>
      <c r="N27" s="85"/>
      <c r="O27" s="61"/>
      <c r="P27" s="61"/>
      <c r="Q27" s="61"/>
      <c r="R27" s="61"/>
    </row>
    <row r="28" spans="1:18" ht="18" thickTop="1" x14ac:dyDescent="0.3">
      <c r="A28" s="67" t="s">
        <v>90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9"/>
      <c r="N28" s="85"/>
      <c r="O28" s="57" t="s">
        <v>89</v>
      </c>
      <c r="P28" s="58"/>
      <c r="Q28" s="58"/>
      <c r="R28" s="59"/>
    </row>
    <row r="29" spans="1:18" x14ac:dyDescent="0.3">
      <c r="A29" s="70" t="s">
        <v>137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85"/>
      <c r="O29" s="60"/>
      <c r="P29" s="61"/>
      <c r="Q29" s="61"/>
      <c r="R29" s="62"/>
    </row>
    <row r="30" spans="1:18" ht="18" thickBot="1" x14ac:dyDescent="0.35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O30" s="63">
        <v>0</v>
      </c>
      <c r="P30" s="64"/>
      <c r="Q30" s="64"/>
      <c r="R30" s="65"/>
    </row>
    <row r="33" spans="1:18" x14ac:dyDescent="0.3">
      <c r="M33" t="s">
        <v>113</v>
      </c>
    </row>
    <row r="34" spans="1:18" ht="16.5" customHeight="1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</row>
    <row r="35" spans="1:18" ht="16.5" customHeigh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</row>
    <row r="36" spans="1:18" ht="16.5" customHeight="1" x14ac:dyDescent="0.3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</row>
    <row r="37" spans="1:18" ht="16.5" customHeight="1" x14ac:dyDescent="0.3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</row>
    <row r="38" spans="1:18" ht="16.5" customHeight="1" x14ac:dyDescent="0.3">
      <c r="A38" s="66" t="s">
        <v>112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</row>
    <row r="39" spans="1:18" ht="16.5" customHeight="1" x14ac:dyDescent="0.3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</row>
    <row r="40" spans="1:18" x14ac:dyDescent="0.3">
      <c r="A40" s="56" t="s">
        <v>122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  <row r="41" spans="1:18" x14ac:dyDescent="0.3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</row>
  </sheetData>
  <mergeCells count="113">
    <mergeCell ref="A1:R3"/>
    <mergeCell ref="A4:R4"/>
    <mergeCell ref="A5:B6"/>
    <mergeCell ref="C5:C6"/>
    <mergeCell ref="D5:D6"/>
    <mergeCell ref="E5:E6"/>
    <mergeCell ref="F5:K6"/>
    <mergeCell ref="L5:L6"/>
    <mergeCell ref="M5:P6"/>
    <mergeCell ref="Q5:R6"/>
    <mergeCell ref="K9:M9"/>
    <mergeCell ref="A10:C10"/>
    <mergeCell ref="D10:F10"/>
    <mergeCell ref="H10:J10"/>
    <mergeCell ref="K10:M10"/>
    <mergeCell ref="O10:R10"/>
    <mergeCell ref="A7:R7"/>
    <mergeCell ref="A8:C8"/>
    <mergeCell ref="D8:F8"/>
    <mergeCell ref="H8:J8"/>
    <mergeCell ref="K8:M8"/>
    <mergeCell ref="N8:N29"/>
    <mergeCell ref="O8:R9"/>
    <mergeCell ref="A9:C9"/>
    <mergeCell ref="D9:F9"/>
    <mergeCell ref="H9:J9"/>
    <mergeCell ref="A11:C11"/>
    <mergeCell ref="D11:F11"/>
    <mergeCell ref="H11:J11"/>
    <mergeCell ref="K11:M11"/>
    <mergeCell ref="O11:R11"/>
    <mergeCell ref="A12:C12"/>
    <mergeCell ref="D12:F12"/>
    <mergeCell ref="H12:J12"/>
    <mergeCell ref="K12:M12"/>
    <mergeCell ref="O12:R13"/>
    <mergeCell ref="O14:R14"/>
    <mergeCell ref="A15:C15"/>
    <mergeCell ref="D15:F15"/>
    <mergeCell ref="H15:J15"/>
    <mergeCell ref="K15:M15"/>
    <mergeCell ref="O15:R15"/>
    <mergeCell ref="A13:C13"/>
    <mergeCell ref="D13:F13"/>
    <mergeCell ref="H13:J13"/>
    <mergeCell ref="K13:M13"/>
    <mergeCell ref="A14:C14"/>
    <mergeCell ref="D14:F14"/>
    <mergeCell ref="H14:J14"/>
    <mergeCell ref="K14:M14"/>
    <mergeCell ref="A16:C16"/>
    <mergeCell ref="D16:F16"/>
    <mergeCell ref="H16:J16"/>
    <mergeCell ref="K16:M16"/>
    <mergeCell ref="O16:R17"/>
    <mergeCell ref="A17:C17"/>
    <mergeCell ref="D17:F17"/>
    <mergeCell ref="H17:J17"/>
    <mergeCell ref="K17:M17"/>
    <mergeCell ref="A18:C18"/>
    <mergeCell ref="D18:F18"/>
    <mergeCell ref="H18:J18"/>
    <mergeCell ref="K18:M18"/>
    <mergeCell ref="O18:R18"/>
    <mergeCell ref="A19:C19"/>
    <mergeCell ref="D19:F19"/>
    <mergeCell ref="H19:J19"/>
    <mergeCell ref="K19:M19"/>
    <mergeCell ref="O19:R19"/>
    <mergeCell ref="A20:C20"/>
    <mergeCell ref="D20:F20"/>
    <mergeCell ref="H20:J20"/>
    <mergeCell ref="K20:M20"/>
    <mergeCell ref="O20:R21"/>
    <mergeCell ref="A21:C21"/>
    <mergeCell ref="D21:F21"/>
    <mergeCell ref="H21:J21"/>
    <mergeCell ref="K21:M21"/>
    <mergeCell ref="A22:C22"/>
    <mergeCell ref="D22:F22"/>
    <mergeCell ref="H22:J22"/>
    <mergeCell ref="K22:M22"/>
    <mergeCell ref="O22:R22"/>
    <mergeCell ref="A23:C23"/>
    <mergeCell ref="D23:F23"/>
    <mergeCell ref="H23:J23"/>
    <mergeCell ref="K23:M23"/>
    <mergeCell ref="O23:R23"/>
    <mergeCell ref="A24:C24"/>
    <mergeCell ref="D24:F24"/>
    <mergeCell ref="H24:J24"/>
    <mergeCell ref="K24:M24"/>
    <mergeCell ref="O24:R25"/>
    <mergeCell ref="A25:C25"/>
    <mergeCell ref="D25:F25"/>
    <mergeCell ref="H25:J25"/>
    <mergeCell ref="K25:M25"/>
    <mergeCell ref="A40:R41"/>
    <mergeCell ref="O28:R29"/>
    <mergeCell ref="O30:R30"/>
    <mergeCell ref="A38:R39"/>
    <mergeCell ref="A28:M28"/>
    <mergeCell ref="A29:M30"/>
    <mergeCell ref="A26:C26"/>
    <mergeCell ref="D26:F26"/>
    <mergeCell ref="H26:J26"/>
    <mergeCell ref="K26:M26"/>
    <mergeCell ref="O26:R26"/>
    <mergeCell ref="A27:C27"/>
    <mergeCell ref="E27:F27"/>
    <mergeCell ref="H27:J27"/>
    <mergeCell ref="K27:M27"/>
    <mergeCell ref="O27:R27"/>
  </mergeCells>
  <phoneticPr fontId="1" type="noConversion"/>
  <pageMargins left="0.7" right="0.7" top="0.75" bottom="0.75" header="0.3" footer="0.3"/>
  <pageSetup paperSize="9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R42"/>
  <sheetViews>
    <sheetView zoomScaleNormal="100" workbookViewId="0">
      <selection activeCell="A30" sqref="A30:M31"/>
    </sheetView>
  </sheetViews>
  <sheetFormatPr defaultRowHeight="16.5" x14ac:dyDescent="0.3"/>
  <cols>
    <col min="1" max="6" width="4.625" customWidth="1"/>
    <col min="7" max="7" width="1" customWidth="1"/>
    <col min="8" max="23" width="4.625" customWidth="1"/>
  </cols>
  <sheetData>
    <row r="1" spans="1:18" ht="16.5" customHeight="1" x14ac:dyDescent="0.3">
      <c r="A1" s="86" t="s">
        <v>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8"/>
    </row>
    <row r="2" spans="1:18" ht="16.5" customHeight="1" x14ac:dyDescent="0.3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1"/>
    </row>
    <row r="3" spans="1:18" ht="16.5" customHeight="1" thickBot="1" x14ac:dyDescent="0.35">
      <c r="A3" s="92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4"/>
    </row>
    <row r="4" spans="1:18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</row>
    <row r="5" spans="1:18" ht="17.25" customHeight="1" x14ac:dyDescent="0.3">
      <c r="A5" s="96">
        <v>2026</v>
      </c>
      <c r="B5" s="96"/>
      <c r="C5" s="97" t="s">
        <v>60</v>
      </c>
      <c r="D5" s="96">
        <v>7</v>
      </c>
      <c r="E5" s="97" t="s">
        <v>61</v>
      </c>
      <c r="F5" s="96">
        <v>105</v>
      </c>
      <c r="G5" s="96"/>
      <c r="H5" s="96"/>
      <c r="I5" s="96"/>
      <c r="J5" s="96"/>
      <c r="K5" s="96"/>
      <c r="L5" s="97" t="s">
        <v>62</v>
      </c>
      <c r="M5" s="96" t="s">
        <v>81</v>
      </c>
      <c r="N5" s="96"/>
      <c r="O5" s="96"/>
      <c r="P5" s="96"/>
      <c r="Q5" s="98" t="s">
        <v>63</v>
      </c>
      <c r="R5" s="98"/>
    </row>
    <row r="6" spans="1:18" ht="16.5" customHeight="1" x14ac:dyDescent="0.3">
      <c r="A6" s="96"/>
      <c r="B6" s="96"/>
      <c r="C6" s="97"/>
      <c r="D6" s="96"/>
      <c r="E6" s="97"/>
      <c r="F6" s="96"/>
      <c r="G6" s="96"/>
      <c r="H6" s="96"/>
      <c r="I6" s="96"/>
      <c r="J6" s="96"/>
      <c r="K6" s="96"/>
      <c r="L6" s="97"/>
      <c r="M6" s="96"/>
      <c r="N6" s="96"/>
      <c r="O6" s="96"/>
      <c r="P6" s="96"/>
      <c r="Q6" s="98"/>
      <c r="R6" s="98"/>
    </row>
    <row r="7" spans="1:18" ht="13.5" customHeight="1" x14ac:dyDescent="0.3">
      <c r="A7" s="51"/>
      <c r="B7" s="51"/>
      <c r="C7" s="53"/>
      <c r="D7" s="51"/>
      <c r="E7" s="53"/>
      <c r="F7" s="51"/>
      <c r="G7" s="51"/>
      <c r="H7" s="51"/>
      <c r="I7" s="51"/>
      <c r="J7" s="51"/>
      <c r="K7" s="51"/>
      <c r="L7" s="53"/>
      <c r="M7" s="51"/>
      <c r="N7" s="51"/>
      <c r="O7" s="51"/>
      <c r="P7" s="51"/>
      <c r="Q7" s="52"/>
      <c r="R7" s="52"/>
    </row>
    <row r="8" spans="1:18" ht="17.25" thickBot="1" x14ac:dyDescent="0.35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</row>
    <row r="9" spans="1:18" ht="17.25" x14ac:dyDescent="0.3">
      <c r="A9" s="70" t="s">
        <v>68</v>
      </c>
      <c r="B9" s="70"/>
      <c r="C9" s="70"/>
      <c r="D9" s="71">
        <f>통합비용!C43</f>
        <v>176000</v>
      </c>
      <c r="E9" s="71"/>
      <c r="F9" s="71"/>
      <c r="G9" s="46"/>
      <c r="H9" s="70" t="s">
        <v>78</v>
      </c>
      <c r="I9" s="70"/>
      <c r="J9" s="70"/>
      <c r="K9" s="71">
        <f>통합비용!C10</f>
        <v>28707.308970099668</v>
      </c>
      <c r="L9" s="71"/>
      <c r="M9" s="71"/>
      <c r="N9" s="85"/>
      <c r="O9" s="57" t="s">
        <v>64</v>
      </c>
      <c r="P9" s="58"/>
      <c r="Q9" s="58"/>
      <c r="R9" s="59"/>
    </row>
    <row r="10" spans="1:18" ht="17.25" x14ac:dyDescent="0.3">
      <c r="A10" s="70"/>
      <c r="B10" s="70"/>
      <c r="C10" s="70"/>
      <c r="D10" s="71"/>
      <c r="E10" s="71"/>
      <c r="F10" s="71"/>
      <c r="G10" s="46"/>
      <c r="H10" s="70"/>
      <c r="I10" s="70"/>
      <c r="J10" s="70"/>
      <c r="K10" s="71"/>
      <c r="L10" s="71"/>
      <c r="M10" s="71"/>
      <c r="N10" s="85"/>
      <c r="O10" s="60"/>
      <c r="P10" s="61"/>
      <c r="Q10" s="61"/>
      <c r="R10" s="62"/>
    </row>
    <row r="11" spans="1:18" ht="18" thickBot="1" x14ac:dyDescent="0.35">
      <c r="A11" s="70" t="s">
        <v>69</v>
      </c>
      <c r="B11" s="70"/>
      <c r="C11" s="70"/>
      <c r="D11" s="71">
        <f>D9*10%</f>
        <v>17600</v>
      </c>
      <c r="E11" s="71"/>
      <c r="F11" s="71"/>
      <c r="G11" s="46"/>
      <c r="H11" s="70" t="s">
        <v>82</v>
      </c>
      <c r="I11" s="70"/>
      <c r="J11" s="70"/>
      <c r="K11" s="71">
        <f>통합비용!B10</f>
        <v>9</v>
      </c>
      <c r="L11" s="71"/>
      <c r="M11" s="71"/>
      <c r="N11" s="85"/>
      <c r="O11" s="81">
        <f>SUM(K9,K13,K15,K19,K21,K25,D9,D11,D13,D15,D17,D19,D21,D23,D25,D27)</f>
        <v>287322.78192691033</v>
      </c>
      <c r="P11" s="82"/>
      <c r="Q11" s="82"/>
      <c r="R11" s="83"/>
    </row>
    <row r="12" spans="1:18" ht="18" thickBot="1" x14ac:dyDescent="0.35">
      <c r="A12" s="70"/>
      <c r="B12" s="70"/>
      <c r="C12" s="70"/>
      <c r="D12" s="71"/>
      <c r="E12" s="71"/>
      <c r="F12" s="71"/>
      <c r="G12" s="46"/>
      <c r="H12" s="70"/>
      <c r="I12" s="70"/>
      <c r="J12" s="70"/>
      <c r="K12" s="71"/>
      <c r="L12" s="71"/>
      <c r="M12" s="71"/>
      <c r="N12" s="85"/>
      <c r="O12" s="61"/>
      <c r="P12" s="61"/>
      <c r="Q12" s="61"/>
      <c r="R12" s="61"/>
    </row>
    <row r="13" spans="1:18" ht="17.25" x14ac:dyDescent="0.3">
      <c r="A13" s="70" t="s">
        <v>70</v>
      </c>
      <c r="B13" s="70"/>
      <c r="C13" s="70"/>
      <c r="D13" s="71">
        <v>0</v>
      </c>
      <c r="E13" s="71"/>
      <c r="F13" s="71"/>
      <c r="G13" s="46"/>
      <c r="H13" s="70" t="s">
        <v>83</v>
      </c>
      <c r="I13" s="70"/>
      <c r="J13" s="70"/>
      <c r="K13" s="71">
        <v>0</v>
      </c>
      <c r="L13" s="71"/>
      <c r="M13" s="71"/>
      <c r="N13" s="85"/>
      <c r="O13" s="57" t="s">
        <v>65</v>
      </c>
      <c r="P13" s="58"/>
      <c r="Q13" s="58"/>
      <c r="R13" s="59"/>
    </row>
    <row r="14" spans="1:18" ht="17.25" x14ac:dyDescent="0.3">
      <c r="A14" s="70"/>
      <c r="B14" s="70"/>
      <c r="C14" s="70"/>
      <c r="D14" s="71"/>
      <c r="E14" s="71"/>
      <c r="F14" s="71"/>
      <c r="G14" s="46"/>
      <c r="H14" s="70"/>
      <c r="I14" s="70"/>
      <c r="J14" s="70"/>
      <c r="K14" s="71"/>
      <c r="L14" s="71"/>
      <c r="M14" s="71"/>
      <c r="N14" s="85"/>
      <c r="O14" s="60"/>
      <c r="P14" s="61"/>
      <c r="Q14" s="61"/>
      <c r="R14" s="62"/>
    </row>
    <row r="15" spans="1:18" ht="18" thickBot="1" x14ac:dyDescent="0.35">
      <c r="A15" s="70" t="s">
        <v>71</v>
      </c>
      <c r="B15" s="70"/>
      <c r="C15" s="70"/>
      <c r="D15" s="71">
        <v>0</v>
      </c>
      <c r="E15" s="71"/>
      <c r="F15" s="71"/>
      <c r="G15" s="46"/>
      <c r="H15" s="70" t="s">
        <v>84</v>
      </c>
      <c r="I15" s="70"/>
      <c r="J15" s="70"/>
      <c r="K15" s="71">
        <f>통합비용!H30</f>
        <v>34510.959999999999</v>
      </c>
      <c r="L15" s="71"/>
      <c r="M15" s="71"/>
      <c r="N15" s="85"/>
      <c r="O15" s="208">
        <v>0</v>
      </c>
      <c r="P15" s="209"/>
      <c r="Q15" s="209"/>
      <c r="R15" s="210"/>
    </row>
    <row r="16" spans="1:18" ht="18" thickBot="1" x14ac:dyDescent="0.35">
      <c r="A16" s="70"/>
      <c r="B16" s="70"/>
      <c r="C16" s="70"/>
      <c r="D16" s="71"/>
      <c r="E16" s="71"/>
      <c r="F16" s="71"/>
      <c r="G16" s="46"/>
      <c r="H16" s="70"/>
      <c r="I16" s="70"/>
      <c r="J16" s="70"/>
      <c r="K16" s="71"/>
      <c r="L16" s="71"/>
      <c r="M16" s="71"/>
      <c r="N16" s="85"/>
      <c r="O16" s="61"/>
      <c r="P16" s="61"/>
      <c r="Q16" s="61"/>
      <c r="R16" s="61"/>
    </row>
    <row r="17" spans="1:18" ht="17.25" x14ac:dyDescent="0.3">
      <c r="A17" s="70" t="s">
        <v>72</v>
      </c>
      <c r="B17" s="70"/>
      <c r="C17" s="70"/>
      <c r="D17" s="71">
        <v>0</v>
      </c>
      <c r="E17" s="71"/>
      <c r="F17" s="71"/>
      <c r="G17" s="46"/>
      <c r="H17" s="70"/>
      <c r="I17" s="70"/>
      <c r="J17" s="70"/>
      <c r="K17" s="71"/>
      <c r="L17" s="71"/>
      <c r="M17" s="71"/>
      <c r="N17" s="85"/>
      <c r="O17" s="57" t="s">
        <v>66</v>
      </c>
      <c r="P17" s="58"/>
      <c r="Q17" s="58"/>
      <c r="R17" s="59"/>
    </row>
    <row r="18" spans="1:18" ht="17.25" x14ac:dyDescent="0.3">
      <c r="A18" s="70"/>
      <c r="B18" s="70"/>
      <c r="C18" s="70"/>
      <c r="D18" s="71"/>
      <c r="E18" s="71"/>
      <c r="F18" s="71"/>
      <c r="G18" s="46"/>
      <c r="H18" s="70"/>
      <c r="I18" s="70"/>
      <c r="J18" s="70"/>
      <c r="K18" s="71"/>
      <c r="L18" s="71"/>
      <c r="M18" s="71"/>
      <c r="N18" s="85"/>
      <c r="O18" s="60"/>
      <c r="P18" s="61"/>
      <c r="Q18" s="61"/>
      <c r="R18" s="62"/>
    </row>
    <row r="19" spans="1:18" ht="18" thickBot="1" x14ac:dyDescent="0.35">
      <c r="A19" s="70" t="s">
        <v>73</v>
      </c>
      <c r="B19" s="70"/>
      <c r="C19" s="70"/>
      <c r="D19" s="71">
        <v>0</v>
      </c>
      <c r="E19" s="71"/>
      <c r="F19" s="71"/>
      <c r="G19" s="46"/>
      <c r="H19" s="70" t="s">
        <v>85</v>
      </c>
      <c r="I19" s="70"/>
      <c r="J19" s="70"/>
      <c r="K19" s="71">
        <v>4400</v>
      </c>
      <c r="L19" s="71"/>
      <c r="M19" s="71"/>
      <c r="N19" s="85"/>
      <c r="O19" s="205">
        <v>0</v>
      </c>
      <c r="P19" s="206"/>
      <c r="Q19" s="206"/>
      <c r="R19" s="207"/>
    </row>
    <row r="20" spans="1:18" ht="18" thickBot="1" x14ac:dyDescent="0.35">
      <c r="A20" s="70"/>
      <c r="B20" s="70"/>
      <c r="C20" s="70"/>
      <c r="D20" s="71"/>
      <c r="E20" s="71"/>
      <c r="F20" s="71"/>
      <c r="G20" s="46"/>
      <c r="H20" s="70"/>
      <c r="I20" s="70"/>
      <c r="J20" s="70"/>
      <c r="K20" s="71"/>
      <c r="L20" s="71"/>
      <c r="M20" s="71"/>
      <c r="N20" s="85"/>
      <c r="O20" s="61"/>
      <c r="P20" s="61"/>
      <c r="Q20" s="61"/>
      <c r="R20" s="61"/>
    </row>
    <row r="21" spans="1:18" ht="17.25" x14ac:dyDescent="0.3">
      <c r="A21" s="70" t="s">
        <v>74</v>
      </c>
      <c r="B21" s="70"/>
      <c r="C21" s="70"/>
      <c r="D21" s="71">
        <v>0</v>
      </c>
      <c r="E21" s="71"/>
      <c r="F21" s="71"/>
      <c r="G21" s="46"/>
      <c r="H21" s="70" t="s">
        <v>126</v>
      </c>
      <c r="I21" s="70"/>
      <c r="J21" s="70"/>
      <c r="K21" s="71">
        <v>0</v>
      </c>
      <c r="L21" s="71"/>
      <c r="M21" s="71"/>
      <c r="N21" s="85"/>
      <c r="O21" s="57" t="s">
        <v>67</v>
      </c>
      <c r="P21" s="58"/>
      <c r="Q21" s="58"/>
      <c r="R21" s="59"/>
    </row>
    <row r="22" spans="1:18" ht="17.25" x14ac:dyDescent="0.3">
      <c r="A22" s="70"/>
      <c r="B22" s="70"/>
      <c r="C22" s="70"/>
      <c r="D22" s="71"/>
      <c r="E22" s="71"/>
      <c r="F22" s="71"/>
      <c r="G22" s="46"/>
      <c r="H22" s="70"/>
      <c r="I22" s="70"/>
      <c r="J22" s="70"/>
      <c r="K22" s="71"/>
      <c r="L22" s="71"/>
      <c r="M22" s="71"/>
      <c r="N22" s="85"/>
      <c r="O22" s="60"/>
      <c r="P22" s="61"/>
      <c r="Q22" s="61"/>
      <c r="R22" s="62"/>
    </row>
    <row r="23" spans="1:18" ht="18" thickBot="1" x14ac:dyDescent="0.35">
      <c r="A23" s="70" t="s">
        <v>75</v>
      </c>
      <c r="B23" s="70"/>
      <c r="C23" s="70"/>
      <c r="D23" s="71">
        <v>0</v>
      </c>
      <c r="E23" s="71"/>
      <c r="F23" s="71"/>
      <c r="G23" s="46"/>
      <c r="H23" s="70"/>
      <c r="I23" s="70"/>
      <c r="J23" s="70"/>
      <c r="K23" s="71"/>
      <c r="L23" s="71"/>
      <c r="M23" s="71"/>
      <c r="N23" s="85"/>
      <c r="O23" s="75">
        <f>SUM(O11,O15,O19)</f>
        <v>287322.78192691033</v>
      </c>
      <c r="P23" s="76"/>
      <c r="Q23" s="76"/>
      <c r="R23" s="77"/>
    </row>
    <row r="24" spans="1:18" ht="18" thickBot="1" x14ac:dyDescent="0.35">
      <c r="A24" s="70"/>
      <c r="B24" s="70"/>
      <c r="C24" s="70"/>
      <c r="D24" s="71"/>
      <c r="E24" s="71"/>
      <c r="F24" s="71"/>
      <c r="G24" s="46"/>
      <c r="H24" s="70"/>
      <c r="I24" s="70"/>
      <c r="J24" s="70"/>
      <c r="K24" s="71"/>
      <c r="L24" s="71"/>
      <c r="M24" s="71"/>
      <c r="N24" s="85"/>
      <c r="O24" s="61"/>
      <c r="P24" s="61"/>
      <c r="Q24" s="61"/>
      <c r="R24" s="61"/>
    </row>
    <row r="25" spans="1:18" ht="17.25" x14ac:dyDescent="0.3">
      <c r="A25" s="70" t="s">
        <v>76</v>
      </c>
      <c r="B25" s="70"/>
      <c r="C25" s="70"/>
      <c r="D25" s="71">
        <v>0</v>
      </c>
      <c r="E25" s="71"/>
      <c r="F25" s="71"/>
      <c r="G25" s="46"/>
      <c r="H25" s="70" t="s">
        <v>87</v>
      </c>
      <c r="I25" s="70"/>
      <c r="J25" s="70"/>
      <c r="K25" s="71">
        <v>0</v>
      </c>
      <c r="L25" s="71"/>
      <c r="M25" s="71"/>
      <c r="N25" s="85"/>
      <c r="O25" s="57" t="s">
        <v>88</v>
      </c>
      <c r="P25" s="58"/>
      <c r="Q25" s="58"/>
      <c r="R25" s="59"/>
    </row>
    <row r="26" spans="1:18" ht="17.25" x14ac:dyDescent="0.3">
      <c r="A26" s="70"/>
      <c r="B26" s="70"/>
      <c r="C26" s="70"/>
      <c r="D26" s="71"/>
      <c r="E26" s="71"/>
      <c r="F26" s="71"/>
      <c r="G26" s="46"/>
      <c r="H26" s="70"/>
      <c r="I26" s="70"/>
      <c r="J26" s="70"/>
      <c r="K26" s="71"/>
      <c r="L26" s="71"/>
      <c r="M26" s="71"/>
      <c r="N26" s="85"/>
      <c r="O26" s="60"/>
      <c r="P26" s="61"/>
      <c r="Q26" s="61"/>
      <c r="R26" s="62"/>
    </row>
    <row r="27" spans="1:18" ht="18" thickBot="1" x14ac:dyDescent="0.35">
      <c r="A27" s="70" t="s">
        <v>77</v>
      </c>
      <c r="B27" s="70"/>
      <c r="C27" s="70"/>
      <c r="D27" s="71">
        <f>통합비용!G10</f>
        <v>26104.512956810628</v>
      </c>
      <c r="E27" s="71"/>
      <c r="F27" s="71"/>
      <c r="G27" s="46"/>
      <c r="H27" s="70"/>
      <c r="I27" s="70"/>
      <c r="J27" s="70"/>
      <c r="K27" s="71"/>
      <c r="L27" s="71"/>
      <c r="M27" s="71"/>
      <c r="N27" s="85"/>
      <c r="O27" s="72">
        <v>1.5</v>
      </c>
      <c r="P27" s="73"/>
      <c r="Q27" s="73"/>
      <c r="R27" s="74"/>
    </row>
    <row r="28" spans="1:18" ht="18" thickBot="1" x14ac:dyDescent="0.35">
      <c r="A28" s="70"/>
      <c r="B28" s="70"/>
      <c r="C28" s="70"/>
      <c r="D28" s="47"/>
      <c r="E28" s="71"/>
      <c r="F28" s="71"/>
      <c r="G28" s="46"/>
      <c r="H28" s="70"/>
      <c r="I28" s="70"/>
      <c r="J28" s="70"/>
      <c r="K28" s="70"/>
      <c r="L28" s="70"/>
      <c r="M28" s="70"/>
      <c r="N28" s="85"/>
      <c r="O28" s="61"/>
      <c r="P28" s="61"/>
      <c r="Q28" s="61"/>
      <c r="R28" s="61"/>
    </row>
    <row r="29" spans="1:18" ht="18" thickTop="1" x14ac:dyDescent="0.3">
      <c r="A29" s="67" t="s">
        <v>90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9"/>
      <c r="N29" s="85"/>
      <c r="O29" s="57" t="s">
        <v>89</v>
      </c>
      <c r="P29" s="58"/>
      <c r="Q29" s="58"/>
      <c r="R29" s="59"/>
    </row>
    <row r="30" spans="1:18" x14ac:dyDescent="0.3">
      <c r="A30" s="70" t="s">
        <v>137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85"/>
      <c r="O30" s="60"/>
      <c r="P30" s="61"/>
      <c r="Q30" s="61"/>
      <c r="R30" s="62"/>
    </row>
    <row r="31" spans="1:18" ht="18" thickBot="1" x14ac:dyDescent="0.35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O31" s="205">
        <v>0</v>
      </c>
      <c r="P31" s="206"/>
      <c r="Q31" s="206"/>
      <c r="R31" s="207"/>
    </row>
    <row r="34" spans="1:18" x14ac:dyDescent="0.3">
      <c r="M34" t="s">
        <v>113</v>
      </c>
    </row>
    <row r="35" spans="1:18" ht="16.5" customHeigh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</row>
    <row r="36" spans="1:18" ht="16.5" customHeight="1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</row>
    <row r="37" spans="1:18" ht="16.5" customHeight="1" x14ac:dyDescent="0.3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</row>
    <row r="38" spans="1:18" ht="16.5" customHeight="1" x14ac:dyDescent="0.3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</row>
    <row r="39" spans="1:18" ht="16.5" customHeight="1" x14ac:dyDescent="0.3">
      <c r="A39" s="66" t="s">
        <v>112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</row>
    <row r="40" spans="1:18" ht="16.5" customHeight="1" x14ac:dyDescent="0.3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</row>
    <row r="41" spans="1:18" x14ac:dyDescent="0.3">
      <c r="A41" s="56" t="s">
        <v>122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</row>
    <row r="42" spans="1:18" x14ac:dyDescent="0.3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</row>
  </sheetData>
  <mergeCells count="112">
    <mergeCell ref="H28:J28"/>
    <mergeCell ref="K28:M28"/>
    <mergeCell ref="H16:J16"/>
    <mergeCell ref="D24:F24"/>
    <mergeCell ref="D25:F25"/>
    <mergeCell ref="D26:F26"/>
    <mergeCell ref="D27:F27"/>
    <mergeCell ref="D23:F23"/>
    <mergeCell ref="K24:M24"/>
    <mergeCell ref="K25:M25"/>
    <mergeCell ref="K26:M26"/>
    <mergeCell ref="K27:M27"/>
    <mergeCell ref="K21:M21"/>
    <mergeCell ref="K22:M22"/>
    <mergeCell ref="K20:M20"/>
    <mergeCell ref="H15:J15"/>
    <mergeCell ref="L5:L6"/>
    <mergeCell ref="F5:K6"/>
    <mergeCell ref="D16:F16"/>
    <mergeCell ref="D17:F17"/>
    <mergeCell ref="D18:F18"/>
    <mergeCell ref="D19:F19"/>
    <mergeCell ref="K14:M14"/>
    <mergeCell ref="H12:J12"/>
    <mergeCell ref="K19:M19"/>
    <mergeCell ref="K17:M17"/>
    <mergeCell ref="K18:M18"/>
    <mergeCell ref="M5:P6"/>
    <mergeCell ref="Q5:R6"/>
    <mergeCell ref="K9:M9"/>
    <mergeCell ref="K10:M10"/>
    <mergeCell ref="K11:M11"/>
    <mergeCell ref="K12:M12"/>
    <mergeCell ref="N9:N30"/>
    <mergeCell ref="O24:R24"/>
    <mergeCell ref="O25:R26"/>
    <mergeCell ref="O27:R27"/>
    <mergeCell ref="O28:R28"/>
    <mergeCell ref="O29:R30"/>
    <mergeCell ref="K23:M23"/>
    <mergeCell ref="A39:R40"/>
    <mergeCell ref="D9:F9"/>
    <mergeCell ref="D11:F11"/>
    <mergeCell ref="D10:F10"/>
    <mergeCell ref="D12:F12"/>
    <mergeCell ref="D13:F13"/>
    <mergeCell ref="D14:F14"/>
    <mergeCell ref="D15:F15"/>
    <mergeCell ref="H24:J24"/>
    <mergeCell ref="H25:J25"/>
    <mergeCell ref="H26:J26"/>
    <mergeCell ref="H27:J27"/>
    <mergeCell ref="K13:M13"/>
    <mergeCell ref="K15:M15"/>
    <mergeCell ref="K16:M16"/>
    <mergeCell ref="H18:J18"/>
    <mergeCell ref="H19:J19"/>
    <mergeCell ref="H20:J20"/>
    <mergeCell ref="H21:J21"/>
    <mergeCell ref="H22:J22"/>
    <mergeCell ref="H23:J23"/>
    <mergeCell ref="H11:J11"/>
    <mergeCell ref="A26:C26"/>
    <mergeCell ref="O31:R31"/>
    <mergeCell ref="A28:C28"/>
    <mergeCell ref="H9:J9"/>
    <mergeCell ref="H10:J10"/>
    <mergeCell ref="A20:C20"/>
    <mergeCell ref="A21:C21"/>
    <mergeCell ref="A22:C22"/>
    <mergeCell ref="A23:C23"/>
    <mergeCell ref="A24:C24"/>
    <mergeCell ref="A25:C25"/>
    <mergeCell ref="A15:C15"/>
    <mergeCell ref="A10:C10"/>
    <mergeCell ref="A12:C12"/>
    <mergeCell ref="A14:C14"/>
    <mergeCell ref="A16:C16"/>
    <mergeCell ref="A17:C17"/>
    <mergeCell ref="A18:C18"/>
    <mergeCell ref="A19:C19"/>
    <mergeCell ref="E28:F28"/>
    <mergeCell ref="D20:F20"/>
    <mergeCell ref="D21:F21"/>
    <mergeCell ref="D22:F22"/>
    <mergeCell ref="H17:J17"/>
    <mergeCell ref="H13:J13"/>
    <mergeCell ref="H14:J14"/>
    <mergeCell ref="A41:R42"/>
    <mergeCell ref="A1:R3"/>
    <mergeCell ref="A5:B6"/>
    <mergeCell ref="A29:M29"/>
    <mergeCell ref="A30:M31"/>
    <mergeCell ref="A4:R4"/>
    <mergeCell ref="A9:C9"/>
    <mergeCell ref="A11:C11"/>
    <mergeCell ref="A13:C13"/>
    <mergeCell ref="O21:R22"/>
    <mergeCell ref="O19:R19"/>
    <mergeCell ref="O20:R20"/>
    <mergeCell ref="O23:R23"/>
    <mergeCell ref="O13:R14"/>
    <mergeCell ref="O17:R18"/>
    <mergeCell ref="O15:R15"/>
    <mergeCell ref="O16:R16"/>
    <mergeCell ref="O9:R10"/>
    <mergeCell ref="O11:R11"/>
    <mergeCell ref="O12:R12"/>
    <mergeCell ref="C5:C6"/>
    <mergeCell ref="D5:D6"/>
    <mergeCell ref="E5:E6"/>
    <mergeCell ref="A27:C27"/>
  </mergeCells>
  <phoneticPr fontId="1" type="noConversion"/>
  <pageMargins left="0.7" right="0.7" top="0.75" bottom="0.75" header="0.3" footer="0.3"/>
  <pageSetup paperSize="9" scale="97"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0236-2454-4845-8195-ECD3ABF6B245}">
  <sheetPr>
    <tabColor rgb="FF00B050"/>
  </sheetPr>
  <dimension ref="A1:R41"/>
  <sheetViews>
    <sheetView zoomScaleNormal="100" workbookViewId="0">
      <selection activeCell="A29" sqref="A29:M30"/>
    </sheetView>
  </sheetViews>
  <sheetFormatPr defaultRowHeight="16.5" x14ac:dyDescent="0.3"/>
  <cols>
    <col min="1" max="6" width="4.625" customWidth="1"/>
    <col min="7" max="7" width="1" customWidth="1"/>
    <col min="8" max="23" width="4.625" customWidth="1"/>
  </cols>
  <sheetData>
    <row r="1" spans="1:18" ht="16.5" customHeight="1" x14ac:dyDescent="0.3">
      <c r="A1" s="86" t="s">
        <v>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8"/>
    </row>
    <row r="2" spans="1:18" ht="16.5" customHeight="1" x14ac:dyDescent="0.3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1"/>
    </row>
    <row r="3" spans="1:18" ht="16.5" customHeight="1" thickBot="1" x14ac:dyDescent="0.35">
      <c r="A3" s="92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4"/>
    </row>
    <row r="4" spans="1:18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</row>
    <row r="5" spans="1:18" ht="17.25" customHeight="1" x14ac:dyDescent="0.3">
      <c r="A5" s="96">
        <v>2026</v>
      </c>
      <c r="B5" s="96"/>
      <c r="C5" s="97" t="s">
        <v>60</v>
      </c>
      <c r="D5" s="96">
        <v>7</v>
      </c>
      <c r="E5" s="97" t="s">
        <v>61</v>
      </c>
      <c r="F5" s="96">
        <v>108</v>
      </c>
      <c r="G5" s="96"/>
      <c r="H5" s="96"/>
      <c r="I5" s="96"/>
      <c r="J5" s="96"/>
      <c r="K5" s="96"/>
      <c r="L5" s="97" t="s">
        <v>62</v>
      </c>
      <c r="M5" s="96" t="s">
        <v>128</v>
      </c>
      <c r="N5" s="96"/>
      <c r="O5" s="96"/>
      <c r="P5" s="96"/>
      <c r="Q5" s="98" t="s">
        <v>63</v>
      </c>
      <c r="R5" s="98"/>
    </row>
    <row r="6" spans="1:18" ht="16.5" customHeight="1" x14ac:dyDescent="0.3">
      <c r="A6" s="96"/>
      <c r="B6" s="96"/>
      <c r="C6" s="97"/>
      <c r="D6" s="96"/>
      <c r="E6" s="97"/>
      <c r="F6" s="96"/>
      <c r="G6" s="96"/>
      <c r="H6" s="96"/>
      <c r="I6" s="96"/>
      <c r="J6" s="96"/>
      <c r="K6" s="96"/>
      <c r="L6" s="97"/>
      <c r="M6" s="96"/>
      <c r="N6" s="96"/>
      <c r="O6" s="96"/>
      <c r="P6" s="96"/>
      <c r="Q6" s="98"/>
      <c r="R6" s="98"/>
    </row>
    <row r="7" spans="1:18" ht="17.25" thickBot="1" x14ac:dyDescent="0.35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</row>
    <row r="8" spans="1:18" ht="17.25" x14ac:dyDescent="0.3">
      <c r="A8" s="70" t="s">
        <v>68</v>
      </c>
      <c r="B8" s="70"/>
      <c r="C8" s="70"/>
      <c r="D8" s="71">
        <f>통합비용!C44</f>
        <v>40000</v>
      </c>
      <c r="E8" s="71"/>
      <c r="F8" s="71"/>
      <c r="G8" s="46"/>
      <c r="H8" s="70" t="s">
        <v>78</v>
      </c>
      <c r="I8" s="70"/>
      <c r="J8" s="70"/>
      <c r="K8" s="71">
        <f>통합비용!C11</f>
        <v>28707.308970099668</v>
      </c>
      <c r="L8" s="71"/>
      <c r="M8" s="71"/>
      <c r="N8" s="85"/>
      <c r="O8" s="57" t="s">
        <v>64</v>
      </c>
      <c r="P8" s="58"/>
      <c r="Q8" s="58"/>
      <c r="R8" s="59"/>
    </row>
    <row r="9" spans="1:18" ht="17.25" x14ac:dyDescent="0.3">
      <c r="A9" s="70"/>
      <c r="B9" s="70"/>
      <c r="C9" s="70"/>
      <c r="D9" s="71"/>
      <c r="E9" s="71"/>
      <c r="F9" s="71"/>
      <c r="G9" s="46"/>
      <c r="H9" s="70"/>
      <c r="I9" s="70"/>
      <c r="J9" s="70"/>
      <c r="K9" s="71"/>
      <c r="L9" s="71"/>
      <c r="M9" s="71"/>
      <c r="N9" s="85"/>
      <c r="O9" s="60"/>
      <c r="P9" s="61"/>
      <c r="Q9" s="61"/>
      <c r="R9" s="62"/>
    </row>
    <row r="10" spans="1:18" ht="18" thickBot="1" x14ac:dyDescent="0.35">
      <c r="A10" s="70" t="s">
        <v>69</v>
      </c>
      <c r="B10" s="70"/>
      <c r="C10" s="70"/>
      <c r="D10" s="71">
        <v>0</v>
      </c>
      <c r="E10" s="71"/>
      <c r="F10" s="71"/>
      <c r="G10" s="46"/>
      <c r="H10" s="70" t="s">
        <v>82</v>
      </c>
      <c r="I10" s="70"/>
      <c r="J10" s="70"/>
      <c r="K10" s="71">
        <f>통합비용!B11</f>
        <v>9</v>
      </c>
      <c r="L10" s="71"/>
      <c r="M10" s="71"/>
      <c r="N10" s="85"/>
      <c r="O10" s="81">
        <f>SUM(K8,K12,K14,K18,K20,K24,D8,D10,D12,D14,D16,D18,D20,D22,D24,D26)</f>
        <v>82425.928438538205</v>
      </c>
      <c r="P10" s="82"/>
      <c r="Q10" s="82"/>
      <c r="R10" s="83"/>
    </row>
    <row r="11" spans="1:18" ht="18" thickBot="1" x14ac:dyDescent="0.35">
      <c r="A11" s="70"/>
      <c r="B11" s="70"/>
      <c r="C11" s="70"/>
      <c r="D11" s="71"/>
      <c r="E11" s="71"/>
      <c r="F11" s="71"/>
      <c r="G11" s="46"/>
      <c r="H11" s="70"/>
      <c r="I11" s="70"/>
      <c r="J11" s="70"/>
      <c r="K11" s="71"/>
      <c r="L11" s="71"/>
      <c r="M11" s="71"/>
      <c r="N11" s="85"/>
      <c r="O11" s="61"/>
      <c r="P11" s="61"/>
      <c r="Q11" s="61"/>
      <c r="R11" s="61"/>
    </row>
    <row r="12" spans="1:18" ht="17.25" x14ac:dyDescent="0.3">
      <c r="A12" s="70" t="s">
        <v>70</v>
      </c>
      <c r="B12" s="70"/>
      <c r="C12" s="70"/>
      <c r="D12" s="71">
        <v>0</v>
      </c>
      <c r="E12" s="71"/>
      <c r="F12" s="71"/>
      <c r="G12" s="46"/>
      <c r="H12" s="70" t="s">
        <v>83</v>
      </c>
      <c r="I12" s="70"/>
      <c r="J12" s="70"/>
      <c r="K12" s="71">
        <v>0</v>
      </c>
      <c r="L12" s="71"/>
      <c r="M12" s="71"/>
      <c r="N12" s="85"/>
      <c r="O12" s="57" t="s">
        <v>65</v>
      </c>
      <c r="P12" s="58"/>
      <c r="Q12" s="58"/>
      <c r="R12" s="59"/>
    </row>
    <row r="13" spans="1:18" ht="17.25" x14ac:dyDescent="0.3">
      <c r="A13" s="70"/>
      <c r="B13" s="70"/>
      <c r="C13" s="70"/>
      <c r="D13" s="71"/>
      <c r="E13" s="71"/>
      <c r="F13" s="71"/>
      <c r="G13" s="46"/>
      <c r="H13" s="70"/>
      <c r="I13" s="70"/>
      <c r="J13" s="70"/>
      <c r="K13" s="71"/>
      <c r="L13" s="71"/>
      <c r="M13" s="71"/>
      <c r="N13" s="85"/>
      <c r="O13" s="60"/>
      <c r="P13" s="61"/>
      <c r="Q13" s="61"/>
      <c r="R13" s="62"/>
    </row>
    <row r="14" spans="1:18" ht="18" thickBot="1" x14ac:dyDescent="0.35">
      <c r="A14" s="70" t="s">
        <v>71</v>
      </c>
      <c r="B14" s="70"/>
      <c r="C14" s="70"/>
      <c r="D14" s="71">
        <v>0</v>
      </c>
      <c r="E14" s="71"/>
      <c r="F14" s="71"/>
      <c r="G14" s="46"/>
      <c r="H14" s="70" t="s">
        <v>84</v>
      </c>
      <c r="I14" s="70"/>
      <c r="J14" s="70"/>
      <c r="K14" s="71">
        <f>통합비용!H31</f>
        <v>7059.0599999999986</v>
      </c>
      <c r="L14" s="71"/>
      <c r="M14" s="71"/>
      <c r="N14" s="85"/>
      <c r="O14" s="63">
        <v>0</v>
      </c>
      <c r="P14" s="64"/>
      <c r="Q14" s="64"/>
      <c r="R14" s="65"/>
    </row>
    <row r="15" spans="1:18" ht="18" thickBot="1" x14ac:dyDescent="0.35">
      <c r="A15" s="70"/>
      <c r="B15" s="70"/>
      <c r="C15" s="70"/>
      <c r="D15" s="71"/>
      <c r="E15" s="71"/>
      <c r="F15" s="71"/>
      <c r="G15" s="46"/>
      <c r="H15" s="70"/>
      <c r="I15" s="70"/>
      <c r="J15" s="70"/>
      <c r="K15" s="71"/>
      <c r="L15" s="71"/>
      <c r="M15" s="71"/>
      <c r="N15" s="85"/>
      <c r="O15" s="61"/>
      <c r="P15" s="61"/>
      <c r="Q15" s="61"/>
      <c r="R15" s="61"/>
    </row>
    <row r="16" spans="1:18" ht="17.25" x14ac:dyDescent="0.3">
      <c r="A16" s="70" t="s">
        <v>72</v>
      </c>
      <c r="B16" s="70"/>
      <c r="C16" s="70"/>
      <c r="D16" s="71">
        <v>0</v>
      </c>
      <c r="E16" s="71"/>
      <c r="F16" s="71"/>
      <c r="G16" s="46"/>
      <c r="H16" s="70"/>
      <c r="I16" s="70"/>
      <c r="J16" s="70"/>
      <c r="K16" s="71"/>
      <c r="L16" s="71"/>
      <c r="M16" s="71"/>
      <c r="N16" s="85"/>
      <c r="O16" s="57" t="s">
        <v>66</v>
      </c>
      <c r="P16" s="58"/>
      <c r="Q16" s="58"/>
      <c r="R16" s="59"/>
    </row>
    <row r="17" spans="1:18" ht="17.25" x14ac:dyDescent="0.3">
      <c r="A17" s="70"/>
      <c r="B17" s="70"/>
      <c r="C17" s="70"/>
      <c r="D17" s="71"/>
      <c r="E17" s="71"/>
      <c r="F17" s="71"/>
      <c r="G17" s="46"/>
      <c r="H17" s="70"/>
      <c r="I17" s="70"/>
      <c r="J17" s="70"/>
      <c r="K17" s="71"/>
      <c r="L17" s="71"/>
      <c r="M17" s="71"/>
      <c r="N17" s="85"/>
      <c r="O17" s="60"/>
      <c r="P17" s="61"/>
      <c r="Q17" s="61"/>
      <c r="R17" s="62"/>
    </row>
    <row r="18" spans="1:18" ht="18" thickBot="1" x14ac:dyDescent="0.35">
      <c r="A18" s="70" t="s">
        <v>73</v>
      </c>
      <c r="B18" s="70"/>
      <c r="C18" s="70"/>
      <c r="D18" s="71">
        <v>0</v>
      </c>
      <c r="E18" s="71"/>
      <c r="F18" s="71"/>
      <c r="G18" s="46"/>
      <c r="H18" s="70" t="s">
        <v>85</v>
      </c>
      <c r="I18" s="70"/>
      <c r="J18" s="70"/>
      <c r="K18" s="71">
        <v>1320</v>
      </c>
      <c r="L18" s="71"/>
      <c r="M18" s="71"/>
      <c r="N18" s="85"/>
      <c r="O18" s="63">
        <v>0</v>
      </c>
      <c r="P18" s="64"/>
      <c r="Q18" s="64"/>
      <c r="R18" s="65"/>
    </row>
    <row r="19" spans="1:18" ht="18" thickBot="1" x14ac:dyDescent="0.35">
      <c r="A19" s="70"/>
      <c r="B19" s="70"/>
      <c r="C19" s="70"/>
      <c r="D19" s="71"/>
      <c r="E19" s="71"/>
      <c r="F19" s="71"/>
      <c r="G19" s="46"/>
      <c r="H19" s="70"/>
      <c r="I19" s="70"/>
      <c r="J19" s="70"/>
      <c r="K19" s="71"/>
      <c r="L19" s="71"/>
      <c r="M19" s="71"/>
      <c r="N19" s="85"/>
      <c r="O19" s="61"/>
      <c r="P19" s="61"/>
      <c r="Q19" s="61"/>
      <c r="R19" s="61"/>
    </row>
    <row r="20" spans="1:18" ht="17.25" x14ac:dyDescent="0.3">
      <c r="A20" s="70" t="s">
        <v>74</v>
      </c>
      <c r="B20" s="70"/>
      <c r="C20" s="70"/>
      <c r="D20" s="71">
        <v>0</v>
      </c>
      <c r="E20" s="71"/>
      <c r="F20" s="71"/>
      <c r="G20" s="46"/>
      <c r="H20" s="70" t="s">
        <v>86</v>
      </c>
      <c r="I20" s="70"/>
      <c r="J20" s="70"/>
      <c r="K20" s="71">
        <v>0</v>
      </c>
      <c r="L20" s="71"/>
      <c r="M20" s="71"/>
      <c r="N20" s="85"/>
      <c r="O20" s="57" t="s">
        <v>67</v>
      </c>
      <c r="P20" s="58"/>
      <c r="Q20" s="58"/>
      <c r="R20" s="59"/>
    </row>
    <row r="21" spans="1:18" ht="17.25" x14ac:dyDescent="0.3">
      <c r="A21" s="70"/>
      <c r="B21" s="70"/>
      <c r="C21" s="70"/>
      <c r="D21" s="71"/>
      <c r="E21" s="71"/>
      <c r="F21" s="71"/>
      <c r="G21" s="46"/>
      <c r="H21" s="70"/>
      <c r="I21" s="70"/>
      <c r="J21" s="70"/>
      <c r="K21" s="71"/>
      <c r="L21" s="71"/>
      <c r="M21" s="71"/>
      <c r="N21" s="85"/>
      <c r="O21" s="60"/>
      <c r="P21" s="61"/>
      <c r="Q21" s="61"/>
      <c r="R21" s="62"/>
    </row>
    <row r="22" spans="1:18" ht="18" thickBot="1" x14ac:dyDescent="0.35">
      <c r="A22" s="70" t="s">
        <v>75</v>
      </c>
      <c r="B22" s="70"/>
      <c r="C22" s="70"/>
      <c r="D22" s="71">
        <v>0</v>
      </c>
      <c r="E22" s="71"/>
      <c r="F22" s="71"/>
      <c r="G22" s="46"/>
      <c r="H22" s="70"/>
      <c r="I22" s="70"/>
      <c r="J22" s="70"/>
      <c r="K22" s="71"/>
      <c r="L22" s="71"/>
      <c r="M22" s="71"/>
      <c r="N22" s="85"/>
      <c r="O22" s="75">
        <f>SUM(O10,O14,O18)</f>
        <v>82425.928438538205</v>
      </c>
      <c r="P22" s="76"/>
      <c r="Q22" s="76"/>
      <c r="R22" s="77"/>
    </row>
    <row r="23" spans="1:18" ht="18" thickBot="1" x14ac:dyDescent="0.35">
      <c r="A23" s="70"/>
      <c r="B23" s="70"/>
      <c r="C23" s="70"/>
      <c r="D23" s="71"/>
      <c r="E23" s="71"/>
      <c r="F23" s="71"/>
      <c r="G23" s="46"/>
      <c r="H23" s="70"/>
      <c r="I23" s="70"/>
      <c r="J23" s="70"/>
      <c r="K23" s="71"/>
      <c r="L23" s="71"/>
      <c r="M23" s="71"/>
      <c r="N23" s="85"/>
      <c r="O23" s="61"/>
      <c r="P23" s="61"/>
      <c r="Q23" s="61"/>
      <c r="R23" s="61"/>
    </row>
    <row r="24" spans="1:18" ht="17.25" x14ac:dyDescent="0.3">
      <c r="A24" s="70" t="s">
        <v>76</v>
      </c>
      <c r="B24" s="70"/>
      <c r="C24" s="70"/>
      <c r="D24" s="71">
        <v>0</v>
      </c>
      <c r="E24" s="71"/>
      <c r="F24" s="71"/>
      <c r="G24" s="46"/>
      <c r="H24" s="70" t="s">
        <v>87</v>
      </c>
      <c r="I24" s="70"/>
      <c r="J24" s="70"/>
      <c r="K24" s="71">
        <v>0</v>
      </c>
      <c r="L24" s="71"/>
      <c r="M24" s="71"/>
      <c r="N24" s="85"/>
      <c r="O24" s="57" t="s">
        <v>88</v>
      </c>
      <c r="P24" s="58"/>
      <c r="Q24" s="58"/>
      <c r="R24" s="59"/>
    </row>
    <row r="25" spans="1:18" ht="17.25" x14ac:dyDescent="0.3">
      <c r="A25" s="70"/>
      <c r="B25" s="70"/>
      <c r="C25" s="70"/>
      <c r="D25" s="71"/>
      <c r="E25" s="71"/>
      <c r="F25" s="71"/>
      <c r="G25" s="46"/>
      <c r="H25" s="70"/>
      <c r="I25" s="70"/>
      <c r="J25" s="70"/>
      <c r="K25" s="71"/>
      <c r="L25" s="71"/>
      <c r="M25" s="71"/>
      <c r="N25" s="85"/>
      <c r="O25" s="60"/>
      <c r="P25" s="61"/>
      <c r="Q25" s="61"/>
      <c r="R25" s="62"/>
    </row>
    <row r="26" spans="1:18" ht="18" thickBot="1" x14ac:dyDescent="0.35">
      <c r="A26" s="70" t="s">
        <v>77</v>
      </c>
      <c r="B26" s="70"/>
      <c r="C26" s="70"/>
      <c r="D26" s="71">
        <f>통합비용!G11</f>
        <v>5339.5594684385369</v>
      </c>
      <c r="E26" s="71"/>
      <c r="F26" s="71"/>
      <c r="G26" s="46"/>
      <c r="H26" s="70"/>
      <c r="I26" s="70"/>
      <c r="J26" s="70"/>
      <c r="K26" s="71"/>
      <c r="L26" s="71"/>
      <c r="M26" s="71"/>
      <c r="N26" s="85"/>
      <c r="O26" s="72">
        <v>1.5</v>
      </c>
      <c r="P26" s="73"/>
      <c r="Q26" s="73"/>
      <c r="R26" s="74"/>
    </row>
    <row r="27" spans="1:18" ht="18" thickBot="1" x14ac:dyDescent="0.35">
      <c r="A27" s="70"/>
      <c r="B27" s="70"/>
      <c r="C27" s="70"/>
      <c r="D27" s="47"/>
      <c r="E27" s="71"/>
      <c r="F27" s="71"/>
      <c r="G27" s="46"/>
      <c r="H27" s="70"/>
      <c r="I27" s="70"/>
      <c r="J27" s="70"/>
      <c r="K27" s="70"/>
      <c r="L27" s="70"/>
      <c r="M27" s="70"/>
      <c r="N27" s="85"/>
      <c r="O27" s="61"/>
      <c r="P27" s="61"/>
      <c r="Q27" s="61"/>
      <c r="R27" s="61"/>
    </row>
    <row r="28" spans="1:18" ht="18" thickTop="1" x14ac:dyDescent="0.3">
      <c r="A28" s="67" t="s">
        <v>90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9"/>
      <c r="N28" s="85"/>
      <c r="O28" s="57" t="s">
        <v>89</v>
      </c>
      <c r="P28" s="58"/>
      <c r="Q28" s="58"/>
      <c r="R28" s="59"/>
    </row>
    <row r="29" spans="1:18" ht="16.5" customHeight="1" x14ac:dyDescent="0.3">
      <c r="A29" s="70" t="s">
        <v>137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85"/>
      <c r="O29" s="60"/>
      <c r="P29" s="61"/>
      <c r="Q29" s="61"/>
      <c r="R29" s="62"/>
    </row>
    <row r="30" spans="1:18" ht="18" thickBot="1" x14ac:dyDescent="0.35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O30" s="63">
        <v>0</v>
      </c>
      <c r="P30" s="64"/>
      <c r="Q30" s="64"/>
      <c r="R30" s="65"/>
    </row>
    <row r="33" spans="1:18" x14ac:dyDescent="0.3">
      <c r="M33" t="s">
        <v>113</v>
      </c>
    </row>
    <row r="34" spans="1:18" ht="16.5" customHeight="1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</row>
    <row r="35" spans="1:18" ht="16.5" customHeigh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</row>
    <row r="36" spans="1:18" ht="16.5" customHeight="1" x14ac:dyDescent="0.3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</row>
    <row r="37" spans="1:18" ht="16.5" customHeight="1" x14ac:dyDescent="0.3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</row>
    <row r="38" spans="1:18" ht="16.5" customHeight="1" x14ac:dyDescent="0.3">
      <c r="A38" s="66" t="s">
        <v>112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</row>
    <row r="39" spans="1:18" ht="16.5" customHeight="1" x14ac:dyDescent="0.3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</row>
    <row r="40" spans="1:18" x14ac:dyDescent="0.3">
      <c r="A40" s="56" t="s">
        <v>122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  <row r="41" spans="1:18" x14ac:dyDescent="0.3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</row>
  </sheetData>
  <mergeCells count="113">
    <mergeCell ref="O28:R29"/>
    <mergeCell ref="O30:R30"/>
    <mergeCell ref="A38:R39"/>
    <mergeCell ref="A26:C26"/>
    <mergeCell ref="D26:F26"/>
    <mergeCell ref="H26:J26"/>
    <mergeCell ref="K26:M26"/>
    <mergeCell ref="O26:R26"/>
    <mergeCell ref="A27:C27"/>
    <mergeCell ref="E27:F27"/>
    <mergeCell ref="H27:J27"/>
    <mergeCell ref="K27:M27"/>
    <mergeCell ref="O27:R27"/>
    <mergeCell ref="O22:R22"/>
    <mergeCell ref="A23:C23"/>
    <mergeCell ref="D23:F23"/>
    <mergeCell ref="H23:J23"/>
    <mergeCell ref="K23:M23"/>
    <mergeCell ref="O23:R23"/>
    <mergeCell ref="A24:C24"/>
    <mergeCell ref="D24:F24"/>
    <mergeCell ref="H24:J24"/>
    <mergeCell ref="K24:M24"/>
    <mergeCell ref="O24:R25"/>
    <mergeCell ref="A25:C25"/>
    <mergeCell ref="D25:F25"/>
    <mergeCell ref="H25:J25"/>
    <mergeCell ref="K25:M25"/>
    <mergeCell ref="O19:R19"/>
    <mergeCell ref="A20:C20"/>
    <mergeCell ref="D20:F20"/>
    <mergeCell ref="H20:J20"/>
    <mergeCell ref="K20:M20"/>
    <mergeCell ref="O20:R21"/>
    <mergeCell ref="A21:C21"/>
    <mergeCell ref="D21:F21"/>
    <mergeCell ref="H21:J21"/>
    <mergeCell ref="K21:M21"/>
    <mergeCell ref="O16:R17"/>
    <mergeCell ref="A17:C17"/>
    <mergeCell ref="D17:F17"/>
    <mergeCell ref="H17:J17"/>
    <mergeCell ref="K17:M17"/>
    <mergeCell ref="A18:C18"/>
    <mergeCell ref="D18:F18"/>
    <mergeCell ref="H18:J18"/>
    <mergeCell ref="K18:M18"/>
    <mergeCell ref="O18:R18"/>
    <mergeCell ref="O11:R11"/>
    <mergeCell ref="A12:C12"/>
    <mergeCell ref="D12:F12"/>
    <mergeCell ref="H12:J12"/>
    <mergeCell ref="K12:M12"/>
    <mergeCell ref="O12:R13"/>
    <mergeCell ref="O14:R14"/>
    <mergeCell ref="A15:C15"/>
    <mergeCell ref="D15:F15"/>
    <mergeCell ref="H15:J15"/>
    <mergeCell ref="K15:M15"/>
    <mergeCell ref="O15:R15"/>
    <mergeCell ref="A13:C13"/>
    <mergeCell ref="D13:F13"/>
    <mergeCell ref="H13:J13"/>
    <mergeCell ref="K13:M13"/>
    <mergeCell ref="A14:C14"/>
    <mergeCell ref="D14:F14"/>
    <mergeCell ref="H14:J14"/>
    <mergeCell ref="K14:M14"/>
    <mergeCell ref="A9:C9"/>
    <mergeCell ref="D9:F9"/>
    <mergeCell ref="H9:J9"/>
    <mergeCell ref="A28:M28"/>
    <mergeCell ref="A29:M30"/>
    <mergeCell ref="A11:C11"/>
    <mergeCell ref="D11:F11"/>
    <mergeCell ref="H11:J11"/>
    <mergeCell ref="K11:M11"/>
    <mergeCell ref="A16:C16"/>
    <mergeCell ref="D16:F16"/>
    <mergeCell ref="H16:J16"/>
    <mergeCell ref="K16:M16"/>
    <mergeCell ref="A19:C19"/>
    <mergeCell ref="D19:F19"/>
    <mergeCell ref="H19:J19"/>
    <mergeCell ref="K19:M19"/>
    <mergeCell ref="A22:C22"/>
    <mergeCell ref="D22:F22"/>
    <mergeCell ref="H22:J22"/>
    <mergeCell ref="K22:M22"/>
    <mergeCell ref="A40:R41"/>
    <mergeCell ref="A1:R3"/>
    <mergeCell ref="A4:R4"/>
    <mergeCell ref="A5:B6"/>
    <mergeCell ref="C5:C6"/>
    <mergeCell ref="D5:D6"/>
    <mergeCell ref="E5:E6"/>
    <mergeCell ref="F5:K6"/>
    <mergeCell ref="L5:L6"/>
    <mergeCell ref="M5:P6"/>
    <mergeCell ref="Q5:R6"/>
    <mergeCell ref="K9:M9"/>
    <mergeCell ref="A10:C10"/>
    <mergeCell ref="D10:F10"/>
    <mergeCell ref="H10:J10"/>
    <mergeCell ref="K10:M10"/>
    <mergeCell ref="O10:R10"/>
    <mergeCell ref="A7:R7"/>
    <mergeCell ref="A8:C8"/>
    <mergeCell ref="D8:F8"/>
    <mergeCell ref="H8:J8"/>
    <mergeCell ref="K8:M8"/>
    <mergeCell ref="N8:N29"/>
    <mergeCell ref="O8:R9"/>
  </mergeCells>
  <phoneticPr fontId="1" type="noConversion"/>
  <pageMargins left="0.7" right="0.7" top="0.75" bottom="0.75" header="0.3" footer="0.3"/>
  <pageSetup paperSize="9" orientation="portrait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96766-BB50-4321-9DED-FB9177F45B49}">
  <sheetPr>
    <tabColor rgb="FFFFC000"/>
  </sheetPr>
  <dimension ref="A1:R41"/>
  <sheetViews>
    <sheetView zoomScaleNormal="100" workbookViewId="0">
      <selection activeCell="U18" sqref="U18"/>
    </sheetView>
  </sheetViews>
  <sheetFormatPr defaultRowHeight="16.5" x14ac:dyDescent="0.3"/>
  <cols>
    <col min="1" max="6" width="4.625" customWidth="1"/>
    <col min="7" max="7" width="1" customWidth="1"/>
    <col min="8" max="23" width="4.625" customWidth="1"/>
  </cols>
  <sheetData>
    <row r="1" spans="1:18" ht="16.5" customHeight="1" x14ac:dyDescent="0.3">
      <c r="A1" s="86" t="s">
        <v>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8"/>
    </row>
    <row r="2" spans="1:18" ht="16.5" customHeight="1" x14ac:dyDescent="0.3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1"/>
    </row>
    <row r="3" spans="1:18" ht="16.5" customHeight="1" thickBot="1" x14ac:dyDescent="0.35">
      <c r="A3" s="92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4"/>
    </row>
    <row r="4" spans="1:18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</row>
    <row r="5" spans="1:18" ht="17.25" customHeight="1" x14ac:dyDescent="0.3">
      <c r="A5" s="96">
        <v>2026</v>
      </c>
      <c r="B5" s="96"/>
      <c r="C5" s="97" t="s">
        <v>60</v>
      </c>
      <c r="D5" s="96">
        <v>7</v>
      </c>
      <c r="E5" s="97" t="s">
        <v>61</v>
      </c>
      <c r="F5" s="96" t="s">
        <v>121</v>
      </c>
      <c r="G5" s="96"/>
      <c r="H5" s="96"/>
      <c r="I5" s="96"/>
      <c r="J5" s="96"/>
      <c r="K5" s="96"/>
      <c r="L5" s="97" t="s">
        <v>62</v>
      </c>
      <c r="M5" s="96" t="s">
        <v>120</v>
      </c>
      <c r="N5" s="96"/>
      <c r="O5" s="96"/>
      <c r="P5" s="96"/>
      <c r="Q5" s="98" t="s">
        <v>63</v>
      </c>
      <c r="R5" s="98"/>
    </row>
    <row r="6" spans="1:18" ht="16.5" customHeight="1" x14ac:dyDescent="0.3">
      <c r="A6" s="96"/>
      <c r="B6" s="96"/>
      <c r="C6" s="97"/>
      <c r="D6" s="96"/>
      <c r="E6" s="97"/>
      <c r="F6" s="96"/>
      <c r="G6" s="96"/>
      <c r="H6" s="96"/>
      <c r="I6" s="96"/>
      <c r="J6" s="96"/>
      <c r="K6" s="96"/>
      <c r="L6" s="97"/>
      <c r="M6" s="96"/>
      <c r="N6" s="96"/>
      <c r="O6" s="96"/>
      <c r="P6" s="96"/>
      <c r="Q6" s="98"/>
      <c r="R6" s="98"/>
    </row>
    <row r="7" spans="1:18" ht="17.25" thickBot="1" x14ac:dyDescent="0.35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</row>
    <row r="8" spans="1:18" ht="17.25" x14ac:dyDescent="0.3">
      <c r="A8" s="70" t="s">
        <v>25</v>
      </c>
      <c r="B8" s="70"/>
      <c r="C8" s="70"/>
      <c r="D8" s="71">
        <f>통합비용!C50</f>
        <v>828000</v>
      </c>
      <c r="E8" s="71"/>
      <c r="F8" s="71"/>
      <c r="G8" s="46"/>
      <c r="H8" s="70" t="s">
        <v>78</v>
      </c>
      <c r="I8" s="70"/>
      <c r="J8" s="70"/>
      <c r="K8" s="71">
        <f>통합비용!C17</f>
        <v>102070.43189368771</v>
      </c>
      <c r="L8" s="71"/>
      <c r="M8" s="71"/>
      <c r="N8" s="85"/>
      <c r="O8" s="57" t="s">
        <v>64</v>
      </c>
      <c r="P8" s="58"/>
      <c r="Q8" s="58"/>
      <c r="R8" s="59"/>
    </row>
    <row r="9" spans="1:18" ht="17.25" x14ac:dyDescent="0.3">
      <c r="A9" s="70"/>
      <c r="B9" s="70"/>
      <c r="C9" s="70"/>
      <c r="D9" s="71"/>
      <c r="E9" s="71"/>
      <c r="F9" s="71"/>
      <c r="G9" s="46"/>
      <c r="H9" s="70"/>
      <c r="I9" s="70"/>
      <c r="J9" s="70"/>
      <c r="K9" s="71"/>
      <c r="L9" s="71"/>
      <c r="M9" s="71"/>
      <c r="N9" s="85"/>
      <c r="O9" s="60"/>
      <c r="P9" s="61"/>
      <c r="Q9" s="61"/>
      <c r="R9" s="62"/>
    </row>
    <row r="10" spans="1:18" ht="18" thickBot="1" x14ac:dyDescent="0.35">
      <c r="A10" s="70" t="s">
        <v>69</v>
      </c>
      <c r="B10" s="70"/>
      <c r="C10" s="70"/>
      <c r="D10" s="71">
        <f>D8*10%</f>
        <v>82800</v>
      </c>
      <c r="E10" s="71"/>
      <c r="F10" s="71"/>
      <c r="G10" s="46"/>
      <c r="H10" s="70" t="s">
        <v>82</v>
      </c>
      <c r="I10" s="70"/>
      <c r="J10" s="70"/>
      <c r="K10" s="71">
        <f>통합비용!B17</f>
        <v>32</v>
      </c>
      <c r="L10" s="71"/>
      <c r="M10" s="71"/>
      <c r="N10" s="85"/>
      <c r="O10" s="81">
        <f>SUM(K8,K12,K14,K18,K20,K24,D8,D10,D12,D14,D16,D18,D20,D22,D24,D26)</f>
        <v>1317638.6796677739</v>
      </c>
      <c r="P10" s="82"/>
      <c r="Q10" s="82"/>
      <c r="R10" s="83"/>
    </row>
    <row r="11" spans="1:18" ht="18" thickBot="1" x14ac:dyDescent="0.35">
      <c r="A11" s="70"/>
      <c r="B11" s="70"/>
      <c r="C11" s="70"/>
      <c r="D11" s="71"/>
      <c r="E11" s="71"/>
      <c r="F11" s="71"/>
      <c r="G11" s="46"/>
      <c r="H11" s="70"/>
      <c r="I11" s="70"/>
      <c r="J11" s="70"/>
      <c r="K11" s="71"/>
      <c r="L11" s="71"/>
      <c r="M11" s="71"/>
      <c r="N11" s="85"/>
      <c r="O11" s="61"/>
      <c r="P11" s="61"/>
      <c r="Q11" s="61"/>
      <c r="R11" s="61"/>
    </row>
    <row r="12" spans="1:18" ht="17.25" x14ac:dyDescent="0.3">
      <c r="A12" s="70" t="s">
        <v>70</v>
      </c>
      <c r="B12" s="70"/>
      <c r="C12" s="70"/>
      <c r="D12" s="71">
        <v>0</v>
      </c>
      <c r="E12" s="71"/>
      <c r="F12" s="71"/>
      <c r="G12" s="46"/>
      <c r="H12" s="70" t="s">
        <v>83</v>
      </c>
      <c r="I12" s="70"/>
      <c r="J12" s="70"/>
      <c r="K12" s="71">
        <v>0</v>
      </c>
      <c r="L12" s="71"/>
      <c r="M12" s="71"/>
      <c r="N12" s="85"/>
      <c r="O12" s="57" t="s">
        <v>65</v>
      </c>
      <c r="P12" s="58"/>
      <c r="Q12" s="58"/>
      <c r="R12" s="59"/>
    </row>
    <row r="13" spans="1:18" ht="17.25" x14ac:dyDescent="0.3">
      <c r="A13" s="70"/>
      <c r="B13" s="70"/>
      <c r="C13" s="70"/>
      <c r="D13" s="71"/>
      <c r="E13" s="71"/>
      <c r="F13" s="71"/>
      <c r="G13" s="46"/>
      <c r="H13" s="70"/>
      <c r="I13" s="70"/>
      <c r="J13" s="70"/>
      <c r="K13" s="71"/>
      <c r="L13" s="71"/>
      <c r="M13" s="71"/>
      <c r="N13" s="85"/>
      <c r="O13" s="60"/>
      <c r="P13" s="61"/>
      <c r="Q13" s="61"/>
      <c r="R13" s="62"/>
    </row>
    <row r="14" spans="1:18" ht="18" thickBot="1" x14ac:dyDescent="0.35">
      <c r="A14" s="70" t="s">
        <v>71</v>
      </c>
      <c r="B14" s="70"/>
      <c r="C14" s="70"/>
      <c r="D14" s="71">
        <v>0</v>
      </c>
      <c r="E14" s="71"/>
      <c r="F14" s="71"/>
      <c r="G14" s="46"/>
      <c r="H14" s="70" t="s">
        <v>84</v>
      </c>
      <c r="I14" s="70"/>
      <c r="J14" s="70"/>
      <c r="K14" s="71">
        <f>통합비용!H37</f>
        <v>162358.38</v>
      </c>
      <c r="L14" s="71"/>
      <c r="M14" s="71"/>
      <c r="N14" s="85"/>
      <c r="O14" s="211">
        <v>8053063</v>
      </c>
      <c r="P14" s="212"/>
      <c r="Q14" s="212"/>
      <c r="R14" s="213"/>
    </row>
    <row r="15" spans="1:18" ht="18" thickBot="1" x14ac:dyDescent="0.35">
      <c r="A15" s="70"/>
      <c r="B15" s="70"/>
      <c r="C15" s="70"/>
      <c r="D15" s="71"/>
      <c r="E15" s="71"/>
      <c r="F15" s="71"/>
      <c r="G15" s="46"/>
      <c r="H15" s="70"/>
      <c r="I15" s="70"/>
      <c r="J15" s="70"/>
      <c r="K15" s="71"/>
      <c r="L15" s="71"/>
      <c r="M15" s="71"/>
      <c r="N15" s="85"/>
      <c r="O15" s="61"/>
      <c r="P15" s="61"/>
      <c r="Q15" s="61"/>
      <c r="R15" s="61"/>
    </row>
    <row r="16" spans="1:18" ht="17.25" x14ac:dyDescent="0.3">
      <c r="A16" s="70" t="s">
        <v>72</v>
      </c>
      <c r="B16" s="70"/>
      <c r="C16" s="70"/>
      <c r="D16" s="71">
        <v>0</v>
      </c>
      <c r="E16" s="71"/>
      <c r="F16" s="71"/>
      <c r="G16" s="46"/>
      <c r="H16" s="70"/>
      <c r="I16" s="70"/>
      <c r="J16" s="70"/>
      <c r="K16" s="71"/>
      <c r="L16" s="71"/>
      <c r="M16" s="71"/>
      <c r="N16" s="85"/>
      <c r="O16" s="57" t="s">
        <v>66</v>
      </c>
      <c r="P16" s="58"/>
      <c r="Q16" s="58"/>
      <c r="R16" s="59"/>
    </row>
    <row r="17" spans="1:18" ht="17.25" x14ac:dyDescent="0.3">
      <c r="A17" s="70"/>
      <c r="B17" s="70"/>
      <c r="C17" s="70"/>
      <c r="D17" s="71"/>
      <c r="E17" s="71"/>
      <c r="F17" s="71"/>
      <c r="G17" s="46"/>
      <c r="H17" s="70"/>
      <c r="I17" s="70"/>
      <c r="J17" s="70"/>
      <c r="K17" s="71"/>
      <c r="L17" s="71"/>
      <c r="M17" s="71"/>
      <c r="N17" s="85"/>
      <c r="O17" s="60"/>
      <c r="P17" s="61"/>
      <c r="Q17" s="61"/>
      <c r="R17" s="62"/>
    </row>
    <row r="18" spans="1:18" ht="18" thickBot="1" x14ac:dyDescent="0.35">
      <c r="A18" s="70" t="s">
        <v>73</v>
      </c>
      <c r="B18" s="70"/>
      <c r="C18" s="70"/>
      <c r="D18" s="71">
        <v>0</v>
      </c>
      <c r="E18" s="71"/>
      <c r="F18" s="71"/>
      <c r="G18" s="46"/>
      <c r="H18" s="70" t="s">
        <v>85</v>
      </c>
      <c r="I18" s="70"/>
      <c r="J18" s="70"/>
      <c r="K18" s="71">
        <v>19600</v>
      </c>
      <c r="L18" s="71"/>
      <c r="M18" s="71"/>
      <c r="N18" s="85"/>
      <c r="O18" s="202">
        <v>120795</v>
      </c>
      <c r="P18" s="203"/>
      <c r="Q18" s="203"/>
      <c r="R18" s="204"/>
    </row>
    <row r="19" spans="1:18" ht="18" thickBot="1" x14ac:dyDescent="0.35">
      <c r="A19" s="70"/>
      <c r="B19" s="70"/>
      <c r="C19" s="70"/>
      <c r="D19" s="71"/>
      <c r="E19" s="71"/>
      <c r="F19" s="71"/>
      <c r="G19" s="46"/>
      <c r="H19" s="70"/>
      <c r="I19" s="70"/>
      <c r="J19" s="70"/>
      <c r="K19" s="71"/>
      <c r="L19" s="71"/>
      <c r="M19" s="71"/>
      <c r="N19" s="85"/>
      <c r="O19" s="61"/>
      <c r="P19" s="61"/>
      <c r="Q19" s="61"/>
      <c r="R19" s="61"/>
    </row>
    <row r="20" spans="1:18" ht="17.25" x14ac:dyDescent="0.3">
      <c r="A20" s="70" t="s">
        <v>74</v>
      </c>
      <c r="B20" s="70"/>
      <c r="C20" s="70"/>
      <c r="D20" s="71">
        <v>0</v>
      </c>
      <c r="E20" s="71"/>
      <c r="F20" s="71"/>
      <c r="G20" s="46"/>
      <c r="H20" s="70" t="s">
        <v>127</v>
      </c>
      <c r="I20" s="70"/>
      <c r="J20" s="70"/>
      <c r="K20" s="71">
        <v>0</v>
      </c>
      <c r="L20" s="71"/>
      <c r="M20" s="71"/>
      <c r="N20" s="85"/>
      <c r="O20" s="57" t="s">
        <v>67</v>
      </c>
      <c r="P20" s="58"/>
      <c r="Q20" s="58"/>
      <c r="R20" s="59"/>
    </row>
    <row r="21" spans="1:18" ht="17.25" x14ac:dyDescent="0.3">
      <c r="A21" s="70"/>
      <c r="B21" s="70"/>
      <c r="C21" s="70"/>
      <c r="D21" s="71"/>
      <c r="E21" s="71"/>
      <c r="F21" s="71"/>
      <c r="G21" s="46"/>
      <c r="H21" s="70"/>
      <c r="I21" s="70"/>
      <c r="J21" s="70"/>
      <c r="K21" s="71"/>
      <c r="L21" s="71"/>
      <c r="M21" s="71"/>
      <c r="N21" s="85"/>
      <c r="O21" s="60"/>
      <c r="P21" s="61"/>
      <c r="Q21" s="61"/>
      <c r="R21" s="62"/>
    </row>
    <row r="22" spans="1:18" ht="18" thickBot="1" x14ac:dyDescent="0.35">
      <c r="A22" s="70" t="s">
        <v>75</v>
      </c>
      <c r="B22" s="70"/>
      <c r="C22" s="70"/>
      <c r="D22" s="71">
        <v>0</v>
      </c>
      <c r="E22" s="71"/>
      <c r="F22" s="71"/>
      <c r="G22" s="46"/>
      <c r="H22" s="70"/>
      <c r="I22" s="70"/>
      <c r="J22" s="70"/>
      <c r="K22" s="71"/>
      <c r="L22" s="71"/>
      <c r="M22" s="71"/>
      <c r="N22" s="85"/>
      <c r="O22" s="78">
        <f>SUM(O10,O14,O18)</f>
        <v>9491496.6796677746</v>
      </c>
      <c r="P22" s="79"/>
      <c r="Q22" s="79"/>
      <c r="R22" s="80"/>
    </row>
    <row r="23" spans="1:18" ht="18" thickBot="1" x14ac:dyDescent="0.35">
      <c r="A23" s="70"/>
      <c r="B23" s="70"/>
      <c r="C23" s="70"/>
      <c r="D23" s="71"/>
      <c r="E23" s="71"/>
      <c r="F23" s="71"/>
      <c r="G23" s="46"/>
      <c r="H23" s="70"/>
      <c r="I23" s="70"/>
      <c r="J23" s="70"/>
      <c r="K23" s="71"/>
      <c r="L23" s="71"/>
      <c r="M23" s="71"/>
      <c r="N23" s="85"/>
      <c r="O23" s="61"/>
      <c r="P23" s="61"/>
      <c r="Q23" s="61"/>
      <c r="R23" s="61"/>
    </row>
    <row r="24" spans="1:18" ht="17.25" x14ac:dyDescent="0.3">
      <c r="A24" s="70" t="s">
        <v>76</v>
      </c>
      <c r="B24" s="70"/>
      <c r="C24" s="70"/>
      <c r="D24" s="71">
        <v>0</v>
      </c>
      <c r="E24" s="71"/>
      <c r="F24" s="71"/>
      <c r="G24" s="46"/>
      <c r="H24" s="70" t="s">
        <v>87</v>
      </c>
      <c r="I24" s="70"/>
      <c r="J24" s="70"/>
      <c r="K24" s="71">
        <v>0</v>
      </c>
      <c r="L24" s="71"/>
      <c r="M24" s="71"/>
      <c r="N24" s="85"/>
      <c r="O24" s="57" t="s">
        <v>88</v>
      </c>
      <c r="P24" s="58"/>
      <c r="Q24" s="58"/>
      <c r="R24" s="59"/>
    </row>
    <row r="25" spans="1:18" ht="17.25" x14ac:dyDescent="0.3">
      <c r="A25" s="70"/>
      <c r="B25" s="70"/>
      <c r="C25" s="70"/>
      <c r="D25" s="71"/>
      <c r="E25" s="71"/>
      <c r="F25" s="71"/>
      <c r="G25" s="46"/>
      <c r="H25" s="70"/>
      <c r="I25" s="70"/>
      <c r="J25" s="70"/>
      <c r="K25" s="71"/>
      <c r="L25" s="71"/>
      <c r="M25" s="71"/>
      <c r="N25" s="85"/>
      <c r="O25" s="60"/>
      <c r="P25" s="61"/>
      <c r="Q25" s="61"/>
      <c r="R25" s="62"/>
    </row>
    <row r="26" spans="1:18" ht="18" thickBot="1" x14ac:dyDescent="0.35">
      <c r="A26" s="70" t="s">
        <v>77</v>
      </c>
      <c r="B26" s="70"/>
      <c r="C26" s="70"/>
      <c r="D26" s="71">
        <f>통합비용!G17</f>
        <v>122809.86777408636</v>
      </c>
      <c r="E26" s="71"/>
      <c r="F26" s="71"/>
      <c r="G26" s="46"/>
      <c r="H26" s="70"/>
      <c r="I26" s="70"/>
      <c r="J26" s="70"/>
      <c r="K26" s="71"/>
      <c r="L26" s="71"/>
      <c r="M26" s="71"/>
      <c r="N26" s="85"/>
      <c r="O26" s="72">
        <v>1.5</v>
      </c>
      <c r="P26" s="73"/>
      <c r="Q26" s="73"/>
      <c r="R26" s="74"/>
    </row>
    <row r="27" spans="1:18" ht="18" thickBot="1" x14ac:dyDescent="0.35">
      <c r="A27" s="70"/>
      <c r="B27" s="70"/>
      <c r="C27" s="70"/>
      <c r="D27" s="47"/>
      <c r="E27" s="71"/>
      <c r="F27" s="71"/>
      <c r="G27" s="46"/>
      <c r="H27" s="70"/>
      <c r="I27" s="70"/>
      <c r="J27" s="70"/>
      <c r="K27" s="70"/>
      <c r="L27" s="70"/>
      <c r="M27" s="70"/>
      <c r="N27" s="85"/>
      <c r="O27" s="61"/>
      <c r="P27" s="61"/>
      <c r="Q27" s="61"/>
      <c r="R27" s="61"/>
    </row>
    <row r="28" spans="1:18" ht="18" thickTop="1" x14ac:dyDescent="0.3">
      <c r="A28" s="67" t="s">
        <v>90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9"/>
      <c r="N28" s="85"/>
      <c r="O28" s="57" t="s">
        <v>89</v>
      </c>
      <c r="P28" s="58"/>
      <c r="Q28" s="58"/>
      <c r="R28" s="59"/>
    </row>
    <row r="29" spans="1:18" ht="16.5" customHeight="1" x14ac:dyDescent="0.3">
      <c r="A29" s="70" t="s">
        <v>137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85"/>
      <c r="O29" s="60"/>
      <c r="P29" s="61"/>
      <c r="Q29" s="61"/>
      <c r="R29" s="62"/>
    </row>
    <row r="30" spans="1:18" ht="18" thickBot="1" x14ac:dyDescent="0.35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O30" s="63">
        <v>0</v>
      </c>
      <c r="P30" s="64"/>
      <c r="Q30" s="64"/>
      <c r="R30" s="65"/>
    </row>
    <row r="33" spans="1:18" x14ac:dyDescent="0.3">
      <c r="M33" t="s">
        <v>113</v>
      </c>
    </row>
    <row r="34" spans="1:18" ht="16.5" customHeight="1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</row>
    <row r="35" spans="1:18" ht="16.5" customHeigh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</row>
    <row r="36" spans="1:18" ht="16.5" customHeight="1" x14ac:dyDescent="0.3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</row>
    <row r="37" spans="1:18" ht="16.5" customHeight="1" x14ac:dyDescent="0.3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</row>
    <row r="38" spans="1:18" ht="16.5" customHeight="1" x14ac:dyDescent="0.3">
      <c r="A38" s="66" t="s">
        <v>112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</row>
    <row r="39" spans="1:18" ht="16.5" customHeight="1" x14ac:dyDescent="0.3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</row>
    <row r="40" spans="1:18" x14ac:dyDescent="0.3">
      <c r="A40" s="56" t="s">
        <v>122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  <row r="41" spans="1:18" x14ac:dyDescent="0.3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</row>
  </sheetData>
  <mergeCells count="113">
    <mergeCell ref="A1:R3"/>
    <mergeCell ref="A4:R4"/>
    <mergeCell ref="A5:B6"/>
    <mergeCell ref="C5:C6"/>
    <mergeCell ref="D5:D6"/>
    <mergeCell ref="E5:E6"/>
    <mergeCell ref="F5:K6"/>
    <mergeCell ref="L5:L6"/>
    <mergeCell ref="M5:P6"/>
    <mergeCell ref="Q5:R6"/>
    <mergeCell ref="K9:M9"/>
    <mergeCell ref="A10:C10"/>
    <mergeCell ref="D10:F10"/>
    <mergeCell ref="H10:J10"/>
    <mergeCell ref="K10:M10"/>
    <mergeCell ref="O10:R10"/>
    <mergeCell ref="A7:R7"/>
    <mergeCell ref="A8:C8"/>
    <mergeCell ref="D8:F8"/>
    <mergeCell ref="H8:J8"/>
    <mergeCell ref="K8:M8"/>
    <mergeCell ref="N8:N29"/>
    <mergeCell ref="O8:R9"/>
    <mergeCell ref="A9:C9"/>
    <mergeCell ref="D9:F9"/>
    <mergeCell ref="H9:J9"/>
    <mergeCell ref="A11:C11"/>
    <mergeCell ref="D11:F11"/>
    <mergeCell ref="H11:J11"/>
    <mergeCell ref="K11:M11"/>
    <mergeCell ref="O11:R11"/>
    <mergeCell ref="A12:C12"/>
    <mergeCell ref="D12:F12"/>
    <mergeCell ref="H12:J12"/>
    <mergeCell ref="K12:M12"/>
    <mergeCell ref="O12:R13"/>
    <mergeCell ref="O14:R14"/>
    <mergeCell ref="A15:C15"/>
    <mergeCell ref="D15:F15"/>
    <mergeCell ref="H15:J15"/>
    <mergeCell ref="K15:M15"/>
    <mergeCell ref="O15:R15"/>
    <mergeCell ref="A13:C13"/>
    <mergeCell ref="D13:F13"/>
    <mergeCell ref="H13:J13"/>
    <mergeCell ref="K13:M13"/>
    <mergeCell ref="A14:C14"/>
    <mergeCell ref="D14:F14"/>
    <mergeCell ref="H14:J14"/>
    <mergeCell ref="K14:M14"/>
    <mergeCell ref="A16:C16"/>
    <mergeCell ref="D16:F16"/>
    <mergeCell ref="H16:J16"/>
    <mergeCell ref="K16:M16"/>
    <mergeCell ref="O16:R17"/>
    <mergeCell ref="A17:C17"/>
    <mergeCell ref="D17:F17"/>
    <mergeCell ref="H17:J17"/>
    <mergeCell ref="K17:M17"/>
    <mergeCell ref="A18:C18"/>
    <mergeCell ref="D18:F18"/>
    <mergeCell ref="H18:J18"/>
    <mergeCell ref="K18:M18"/>
    <mergeCell ref="O18:R18"/>
    <mergeCell ref="A19:C19"/>
    <mergeCell ref="D19:F19"/>
    <mergeCell ref="H19:J19"/>
    <mergeCell ref="K19:M19"/>
    <mergeCell ref="O19:R19"/>
    <mergeCell ref="A20:C20"/>
    <mergeCell ref="D20:F20"/>
    <mergeCell ref="H20:J20"/>
    <mergeCell ref="K20:M20"/>
    <mergeCell ref="O20:R21"/>
    <mergeCell ref="A21:C21"/>
    <mergeCell ref="D21:F21"/>
    <mergeCell ref="H21:J21"/>
    <mergeCell ref="K21:M21"/>
    <mergeCell ref="A22:C22"/>
    <mergeCell ref="D22:F22"/>
    <mergeCell ref="H22:J22"/>
    <mergeCell ref="K22:M22"/>
    <mergeCell ref="O22:R22"/>
    <mergeCell ref="A23:C23"/>
    <mergeCell ref="D23:F23"/>
    <mergeCell ref="H23:J23"/>
    <mergeCell ref="K23:M23"/>
    <mergeCell ref="O23:R23"/>
    <mergeCell ref="A24:C24"/>
    <mergeCell ref="D24:F24"/>
    <mergeCell ref="H24:J24"/>
    <mergeCell ref="K24:M24"/>
    <mergeCell ref="O24:R25"/>
    <mergeCell ref="A25:C25"/>
    <mergeCell ref="D25:F25"/>
    <mergeCell ref="H25:J25"/>
    <mergeCell ref="K25:M25"/>
    <mergeCell ref="A40:R41"/>
    <mergeCell ref="O28:R29"/>
    <mergeCell ref="O30:R30"/>
    <mergeCell ref="A38:R39"/>
    <mergeCell ref="A28:M28"/>
    <mergeCell ref="A29:M30"/>
    <mergeCell ref="A26:C26"/>
    <mergeCell ref="D26:F26"/>
    <mergeCell ref="H26:J26"/>
    <mergeCell ref="K26:M26"/>
    <mergeCell ref="O26:R26"/>
    <mergeCell ref="A27:C27"/>
    <mergeCell ref="E27:F27"/>
    <mergeCell ref="H27:J27"/>
    <mergeCell ref="K27:M27"/>
    <mergeCell ref="O27:R27"/>
  </mergeCells>
  <phoneticPr fontId="1" type="noConversion"/>
  <pageMargins left="0.7" right="0.7" top="0.75" bottom="0.75" header="0.3" footer="0.3"/>
  <pageSetup paperSize="9" orientation="portrait" horizont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3492-6268-4A6A-BD36-DE0516FB197D}">
  <sheetPr>
    <tabColor rgb="FF7030A0"/>
  </sheetPr>
  <dimension ref="A1:R41"/>
  <sheetViews>
    <sheetView zoomScaleNormal="100" workbookViewId="0">
      <selection activeCell="A29" sqref="A29:M30"/>
    </sheetView>
  </sheetViews>
  <sheetFormatPr defaultRowHeight="16.5" x14ac:dyDescent="0.3"/>
  <cols>
    <col min="1" max="6" width="4.625" customWidth="1"/>
    <col min="7" max="7" width="1" customWidth="1"/>
    <col min="8" max="23" width="4.625" customWidth="1"/>
  </cols>
  <sheetData>
    <row r="1" spans="1:18" ht="16.5" customHeight="1" x14ac:dyDescent="0.3">
      <c r="A1" s="86" t="s">
        <v>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8"/>
    </row>
    <row r="2" spans="1:18" ht="16.5" customHeight="1" x14ac:dyDescent="0.3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1"/>
    </row>
    <row r="3" spans="1:18" ht="16.5" customHeight="1" thickBot="1" x14ac:dyDescent="0.35">
      <c r="A3" s="92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4"/>
    </row>
    <row r="4" spans="1:18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</row>
    <row r="5" spans="1:18" ht="17.25" customHeight="1" x14ac:dyDescent="0.3">
      <c r="A5" s="96">
        <v>2026</v>
      </c>
      <c r="B5" s="96"/>
      <c r="C5" s="97" t="s">
        <v>60</v>
      </c>
      <c r="D5" s="96">
        <v>7</v>
      </c>
      <c r="E5" s="97" t="s">
        <v>61</v>
      </c>
      <c r="F5" s="96">
        <v>301</v>
      </c>
      <c r="G5" s="96"/>
      <c r="H5" s="96"/>
      <c r="I5" s="96"/>
      <c r="J5" s="96"/>
      <c r="K5" s="96"/>
      <c r="L5" s="97" t="s">
        <v>62</v>
      </c>
      <c r="M5" s="96" t="s">
        <v>56</v>
      </c>
      <c r="N5" s="96"/>
      <c r="O5" s="96"/>
      <c r="P5" s="96"/>
      <c r="Q5" s="98" t="s">
        <v>63</v>
      </c>
      <c r="R5" s="98"/>
    </row>
    <row r="6" spans="1:18" ht="16.5" customHeight="1" x14ac:dyDescent="0.3">
      <c r="A6" s="96"/>
      <c r="B6" s="96"/>
      <c r="C6" s="97"/>
      <c r="D6" s="96"/>
      <c r="E6" s="97"/>
      <c r="F6" s="96"/>
      <c r="G6" s="96"/>
      <c r="H6" s="96"/>
      <c r="I6" s="96"/>
      <c r="J6" s="96"/>
      <c r="K6" s="96"/>
      <c r="L6" s="97"/>
      <c r="M6" s="96"/>
      <c r="N6" s="96"/>
      <c r="O6" s="96"/>
      <c r="P6" s="96"/>
      <c r="Q6" s="98"/>
      <c r="R6" s="98"/>
    </row>
    <row r="7" spans="1:18" ht="17.25" thickBot="1" x14ac:dyDescent="0.35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</row>
    <row r="8" spans="1:18" ht="17.25" x14ac:dyDescent="0.3">
      <c r="A8" s="70" t="s">
        <v>25</v>
      </c>
      <c r="B8" s="70"/>
      <c r="C8" s="70"/>
      <c r="D8" s="71">
        <f>통합비용!C49</f>
        <v>828000</v>
      </c>
      <c r="E8" s="71"/>
      <c r="F8" s="71"/>
      <c r="G8" s="46"/>
      <c r="H8" s="70" t="s">
        <v>78</v>
      </c>
      <c r="I8" s="70"/>
      <c r="J8" s="70"/>
      <c r="K8" s="71">
        <f>통합비용!C15</f>
        <v>19138.205980066447</v>
      </c>
      <c r="L8" s="71"/>
      <c r="M8" s="71"/>
      <c r="N8" s="85"/>
      <c r="O8" s="57" t="s">
        <v>64</v>
      </c>
      <c r="P8" s="58"/>
      <c r="Q8" s="58"/>
      <c r="R8" s="59"/>
    </row>
    <row r="9" spans="1:18" ht="17.25" x14ac:dyDescent="0.3">
      <c r="A9" s="70"/>
      <c r="B9" s="70"/>
      <c r="C9" s="70"/>
      <c r="D9" s="71"/>
      <c r="E9" s="71"/>
      <c r="F9" s="71"/>
      <c r="G9" s="46"/>
      <c r="H9" s="70"/>
      <c r="I9" s="70"/>
      <c r="J9" s="70"/>
      <c r="K9" s="71"/>
      <c r="L9" s="71"/>
      <c r="M9" s="71"/>
      <c r="N9" s="85"/>
      <c r="O9" s="60"/>
      <c r="P9" s="61"/>
      <c r="Q9" s="61"/>
      <c r="R9" s="62"/>
    </row>
    <row r="10" spans="1:18" ht="18" thickBot="1" x14ac:dyDescent="0.35">
      <c r="A10" s="70" t="s">
        <v>69</v>
      </c>
      <c r="B10" s="70"/>
      <c r="C10" s="70"/>
      <c r="D10" s="71">
        <f>D8*10%</f>
        <v>82800</v>
      </c>
      <c r="E10" s="71"/>
      <c r="F10" s="71"/>
      <c r="G10" s="46"/>
      <c r="H10" s="70" t="s">
        <v>82</v>
      </c>
      <c r="I10" s="70"/>
      <c r="J10" s="70"/>
      <c r="K10" s="71">
        <f>통합비용!B15</f>
        <v>6</v>
      </c>
      <c r="L10" s="71"/>
      <c r="M10" s="71"/>
      <c r="N10" s="85"/>
      <c r="O10" s="81">
        <f>SUM(K8,K12,K14,K18,K20,K24,D8,D10,D12,D14,D16,D18,D20,D22,D24,D26,K22)</f>
        <v>1234706.4537541529</v>
      </c>
      <c r="P10" s="82"/>
      <c r="Q10" s="82"/>
      <c r="R10" s="83"/>
    </row>
    <row r="11" spans="1:18" ht="18" thickBot="1" x14ac:dyDescent="0.35">
      <c r="A11" s="70"/>
      <c r="B11" s="70"/>
      <c r="C11" s="70"/>
      <c r="D11" s="71"/>
      <c r="E11" s="71"/>
      <c r="F11" s="71"/>
      <c r="G11" s="46"/>
      <c r="H11" s="70"/>
      <c r="I11" s="70"/>
      <c r="J11" s="70"/>
      <c r="K11" s="71"/>
      <c r="L11" s="71"/>
      <c r="M11" s="71"/>
      <c r="N11" s="85"/>
      <c r="O11" s="61"/>
      <c r="P11" s="61"/>
      <c r="Q11" s="61"/>
      <c r="R11" s="61"/>
    </row>
    <row r="12" spans="1:18" ht="17.25" x14ac:dyDescent="0.3">
      <c r="A12" s="70" t="s">
        <v>70</v>
      </c>
      <c r="B12" s="70"/>
      <c r="C12" s="70"/>
      <c r="D12" s="71">
        <v>0</v>
      </c>
      <c r="E12" s="71"/>
      <c r="F12" s="71"/>
      <c r="G12" s="46"/>
      <c r="H12" s="70" t="s">
        <v>83</v>
      </c>
      <c r="I12" s="70"/>
      <c r="J12" s="70"/>
      <c r="K12" s="71">
        <v>0</v>
      </c>
      <c r="L12" s="71"/>
      <c r="M12" s="71"/>
      <c r="N12" s="85"/>
      <c r="O12" s="57" t="s">
        <v>65</v>
      </c>
      <c r="P12" s="58"/>
      <c r="Q12" s="58"/>
      <c r="R12" s="59"/>
    </row>
    <row r="13" spans="1:18" ht="17.25" x14ac:dyDescent="0.3">
      <c r="A13" s="70"/>
      <c r="B13" s="70"/>
      <c r="C13" s="70"/>
      <c r="D13" s="71"/>
      <c r="E13" s="71"/>
      <c r="F13" s="71"/>
      <c r="G13" s="46"/>
      <c r="H13" s="70"/>
      <c r="I13" s="70"/>
      <c r="J13" s="70"/>
      <c r="K13" s="71"/>
      <c r="L13" s="71"/>
      <c r="M13" s="71"/>
      <c r="N13" s="85"/>
      <c r="O13" s="60"/>
      <c r="P13" s="61"/>
      <c r="Q13" s="61"/>
      <c r="R13" s="62"/>
    </row>
    <row r="14" spans="1:18" ht="18" thickBot="1" x14ac:dyDescent="0.35">
      <c r="A14" s="70" t="s">
        <v>71</v>
      </c>
      <c r="B14" s="70"/>
      <c r="C14" s="70"/>
      <c r="D14" s="71">
        <v>0</v>
      </c>
      <c r="E14" s="71"/>
      <c r="F14" s="71"/>
      <c r="G14" s="46"/>
      <c r="H14" s="70" t="s">
        <v>84</v>
      </c>
      <c r="I14" s="70"/>
      <c r="J14" s="70"/>
      <c r="K14" s="71">
        <f>통합비용!H36</f>
        <v>162358.38</v>
      </c>
      <c r="L14" s="71"/>
      <c r="M14" s="71"/>
      <c r="N14" s="85"/>
      <c r="O14" s="63">
        <v>0</v>
      </c>
      <c r="P14" s="64"/>
      <c r="Q14" s="64"/>
      <c r="R14" s="65"/>
    </row>
    <row r="15" spans="1:18" ht="18" thickBot="1" x14ac:dyDescent="0.35">
      <c r="A15" s="70"/>
      <c r="B15" s="70"/>
      <c r="C15" s="70"/>
      <c r="D15" s="71"/>
      <c r="E15" s="71"/>
      <c r="F15" s="71"/>
      <c r="G15" s="46"/>
      <c r="H15" s="70"/>
      <c r="I15" s="70"/>
      <c r="J15" s="70"/>
      <c r="K15" s="71"/>
      <c r="L15" s="71"/>
      <c r="M15" s="71"/>
      <c r="N15" s="85"/>
      <c r="O15" s="61"/>
      <c r="P15" s="61"/>
      <c r="Q15" s="61"/>
      <c r="R15" s="61"/>
    </row>
    <row r="16" spans="1:18" ht="17.25" x14ac:dyDescent="0.3">
      <c r="A16" s="70" t="s">
        <v>72</v>
      </c>
      <c r="B16" s="70"/>
      <c r="C16" s="70"/>
      <c r="D16" s="71">
        <v>0</v>
      </c>
      <c r="E16" s="71"/>
      <c r="F16" s="71"/>
      <c r="G16" s="46"/>
      <c r="H16" s="70"/>
      <c r="I16" s="70"/>
      <c r="J16" s="70"/>
      <c r="K16" s="71"/>
      <c r="L16" s="71"/>
      <c r="M16" s="71"/>
      <c r="N16" s="85"/>
      <c r="O16" s="57" t="s">
        <v>66</v>
      </c>
      <c r="P16" s="58"/>
      <c r="Q16" s="58"/>
      <c r="R16" s="59"/>
    </row>
    <row r="17" spans="1:18" ht="17.25" x14ac:dyDescent="0.3">
      <c r="A17" s="70"/>
      <c r="B17" s="70"/>
      <c r="C17" s="70"/>
      <c r="D17" s="71"/>
      <c r="E17" s="71"/>
      <c r="F17" s="71"/>
      <c r="G17" s="46"/>
      <c r="H17" s="70"/>
      <c r="I17" s="70"/>
      <c r="J17" s="70"/>
      <c r="K17" s="71"/>
      <c r="L17" s="71"/>
      <c r="M17" s="71"/>
      <c r="N17" s="85"/>
      <c r="O17" s="60"/>
      <c r="P17" s="61"/>
      <c r="Q17" s="61"/>
      <c r="R17" s="62"/>
    </row>
    <row r="18" spans="1:18" ht="18" thickBot="1" x14ac:dyDescent="0.35">
      <c r="A18" s="70" t="s">
        <v>73</v>
      </c>
      <c r="B18" s="70"/>
      <c r="C18" s="70"/>
      <c r="D18" s="71">
        <v>0</v>
      </c>
      <c r="E18" s="71"/>
      <c r="F18" s="71"/>
      <c r="G18" s="46"/>
      <c r="H18" s="70" t="s">
        <v>85</v>
      </c>
      <c r="I18" s="70"/>
      <c r="J18" s="70"/>
      <c r="K18" s="71">
        <v>19600</v>
      </c>
      <c r="L18" s="71"/>
      <c r="M18" s="71"/>
      <c r="N18" s="85"/>
      <c r="O18" s="63">
        <v>0</v>
      </c>
      <c r="P18" s="64"/>
      <c r="Q18" s="64"/>
      <c r="R18" s="65"/>
    </row>
    <row r="19" spans="1:18" ht="18" thickBot="1" x14ac:dyDescent="0.35">
      <c r="A19" s="70"/>
      <c r="B19" s="70"/>
      <c r="C19" s="70"/>
      <c r="D19" s="71"/>
      <c r="E19" s="71"/>
      <c r="F19" s="71"/>
      <c r="G19" s="46"/>
      <c r="H19" s="70"/>
      <c r="I19" s="70"/>
      <c r="J19" s="70"/>
      <c r="K19" s="71"/>
      <c r="L19" s="71"/>
      <c r="M19" s="71"/>
      <c r="N19" s="85"/>
      <c r="O19" s="61"/>
      <c r="P19" s="61"/>
      <c r="Q19" s="61"/>
      <c r="R19" s="61"/>
    </row>
    <row r="20" spans="1:18" ht="17.25" x14ac:dyDescent="0.3">
      <c r="A20" s="70" t="s">
        <v>74</v>
      </c>
      <c r="B20" s="70"/>
      <c r="C20" s="70"/>
      <c r="D20" s="71">
        <v>0</v>
      </c>
      <c r="E20" s="71"/>
      <c r="F20" s="71"/>
      <c r="G20" s="46"/>
      <c r="H20" s="70" t="s">
        <v>124</v>
      </c>
      <c r="I20" s="70"/>
      <c r="J20" s="70"/>
      <c r="K20" s="71">
        <v>0</v>
      </c>
      <c r="L20" s="71"/>
      <c r="M20" s="71"/>
      <c r="N20" s="85"/>
      <c r="O20" s="57" t="s">
        <v>67</v>
      </c>
      <c r="P20" s="58"/>
      <c r="Q20" s="58"/>
      <c r="R20" s="59"/>
    </row>
    <row r="21" spans="1:18" ht="17.25" x14ac:dyDescent="0.3">
      <c r="A21" s="70"/>
      <c r="B21" s="70"/>
      <c r="C21" s="70"/>
      <c r="D21" s="71"/>
      <c r="E21" s="71"/>
      <c r="F21" s="71"/>
      <c r="G21" s="46"/>
      <c r="H21" s="70"/>
      <c r="I21" s="70"/>
      <c r="J21" s="70"/>
      <c r="K21" s="71"/>
      <c r="L21" s="71"/>
      <c r="M21" s="71"/>
      <c r="N21" s="85"/>
      <c r="O21" s="60"/>
      <c r="P21" s="61"/>
      <c r="Q21" s="61"/>
      <c r="R21" s="62"/>
    </row>
    <row r="22" spans="1:18" ht="18" thickBot="1" x14ac:dyDescent="0.35">
      <c r="A22" s="70" t="s">
        <v>75</v>
      </c>
      <c r="B22" s="70"/>
      <c r="C22" s="70"/>
      <c r="D22" s="71">
        <v>0</v>
      </c>
      <c r="E22" s="71"/>
      <c r="F22" s="71"/>
      <c r="G22" s="46"/>
      <c r="H22" s="70" t="s">
        <v>123</v>
      </c>
      <c r="I22" s="70"/>
      <c r="J22" s="70"/>
      <c r="K22" s="71"/>
      <c r="L22" s="71"/>
      <c r="M22" s="71"/>
      <c r="N22" s="85"/>
      <c r="O22" s="75">
        <f>SUM(O10,O14,O18)</f>
        <v>1234706.4537541529</v>
      </c>
      <c r="P22" s="76"/>
      <c r="Q22" s="76"/>
      <c r="R22" s="77"/>
    </row>
    <row r="23" spans="1:18" ht="18" thickBot="1" x14ac:dyDescent="0.35">
      <c r="A23" s="70"/>
      <c r="B23" s="70"/>
      <c r="C23" s="70"/>
      <c r="D23" s="71"/>
      <c r="E23" s="71"/>
      <c r="F23" s="71"/>
      <c r="G23" s="46"/>
      <c r="H23" s="70"/>
      <c r="I23" s="70"/>
      <c r="J23" s="70"/>
      <c r="K23" s="71"/>
      <c r="L23" s="71"/>
      <c r="M23" s="71"/>
      <c r="N23" s="85"/>
      <c r="O23" s="61"/>
      <c r="P23" s="61"/>
      <c r="Q23" s="61"/>
      <c r="R23" s="61"/>
    </row>
    <row r="24" spans="1:18" ht="17.25" x14ac:dyDescent="0.3">
      <c r="A24" s="70" t="s">
        <v>76</v>
      </c>
      <c r="B24" s="70"/>
      <c r="C24" s="70"/>
      <c r="D24" s="71">
        <v>0</v>
      </c>
      <c r="E24" s="71"/>
      <c r="F24" s="71"/>
      <c r="G24" s="46"/>
      <c r="H24" s="70" t="s">
        <v>87</v>
      </c>
      <c r="I24" s="70"/>
      <c r="J24" s="70"/>
      <c r="K24" s="71">
        <v>0</v>
      </c>
      <c r="L24" s="71"/>
      <c r="M24" s="71"/>
      <c r="N24" s="85"/>
      <c r="O24" s="57" t="s">
        <v>88</v>
      </c>
      <c r="P24" s="58"/>
      <c r="Q24" s="58"/>
      <c r="R24" s="59"/>
    </row>
    <row r="25" spans="1:18" ht="17.25" x14ac:dyDescent="0.3">
      <c r="A25" s="70"/>
      <c r="B25" s="70"/>
      <c r="C25" s="70"/>
      <c r="D25" s="71"/>
      <c r="E25" s="71"/>
      <c r="F25" s="71"/>
      <c r="G25" s="46"/>
      <c r="H25" s="70"/>
      <c r="I25" s="70"/>
      <c r="J25" s="70"/>
      <c r="K25" s="71"/>
      <c r="L25" s="71"/>
      <c r="M25" s="71"/>
      <c r="N25" s="85"/>
      <c r="O25" s="60"/>
      <c r="P25" s="61"/>
      <c r="Q25" s="61"/>
      <c r="R25" s="62"/>
    </row>
    <row r="26" spans="1:18" ht="18" thickBot="1" x14ac:dyDescent="0.35">
      <c r="A26" s="70" t="s">
        <v>77</v>
      </c>
      <c r="B26" s="70"/>
      <c r="C26" s="70"/>
      <c r="D26" s="71">
        <f>통합비용!G15</f>
        <v>122809.86777408636</v>
      </c>
      <c r="E26" s="71"/>
      <c r="F26" s="71"/>
      <c r="G26" s="46"/>
      <c r="H26" s="70"/>
      <c r="I26" s="70"/>
      <c r="J26" s="70"/>
      <c r="K26" s="71"/>
      <c r="L26" s="71"/>
      <c r="M26" s="71"/>
      <c r="N26" s="85"/>
      <c r="O26" s="72">
        <v>1.5</v>
      </c>
      <c r="P26" s="73"/>
      <c r="Q26" s="73"/>
      <c r="R26" s="74"/>
    </row>
    <row r="27" spans="1:18" ht="18" thickBot="1" x14ac:dyDescent="0.35">
      <c r="A27" s="70"/>
      <c r="B27" s="70"/>
      <c r="C27" s="70"/>
      <c r="D27" s="47"/>
      <c r="E27" s="71"/>
      <c r="F27" s="71"/>
      <c r="G27" s="46"/>
      <c r="H27" s="70"/>
      <c r="I27" s="70"/>
      <c r="J27" s="70"/>
      <c r="K27" s="70"/>
      <c r="L27" s="70"/>
      <c r="M27" s="70"/>
      <c r="N27" s="85"/>
      <c r="O27" s="61"/>
      <c r="P27" s="61"/>
      <c r="Q27" s="61"/>
      <c r="R27" s="61"/>
    </row>
    <row r="28" spans="1:18" ht="18" thickTop="1" x14ac:dyDescent="0.3">
      <c r="A28" s="67" t="s">
        <v>90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9"/>
      <c r="N28" s="85"/>
      <c r="O28" s="57" t="s">
        <v>89</v>
      </c>
      <c r="P28" s="58"/>
      <c r="Q28" s="58"/>
      <c r="R28" s="59"/>
    </row>
    <row r="29" spans="1:18" x14ac:dyDescent="0.3">
      <c r="A29" s="70" t="s">
        <v>137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85"/>
      <c r="O29" s="60"/>
      <c r="P29" s="61"/>
      <c r="Q29" s="61"/>
      <c r="R29" s="62"/>
    </row>
    <row r="30" spans="1:18" ht="18" thickBot="1" x14ac:dyDescent="0.35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O30" s="63">
        <v>0</v>
      </c>
      <c r="P30" s="64"/>
      <c r="Q30" s="64"/>
      <c r="R30" s="65"/>
    </row>
    <row r="33" spans="1:18" x14ac:dyDescent="0.3">
      <c r="M33" t="s">
        <v>113</v>
      </c>
    </row>
    <row r="34" spans="1:18" ht="16.5" customHeight="1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</row>
    <row r="35" spans="1:18" ht="16.5" customHeigh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</row>
    <row r="36" spans="1:18" ht="16.5" customHeight="1" x14ac:dyDescent="0.3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</row>
    <row r="37" spans="1:18" ht="16.5" customHeight="1" x14ac:dyDescent="0.3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</row>
    <row r="38" spans="1:18" ht="16.5" customHeight="1" x14ac:dyDescent="0.3">
      <c r="A38" s="66" t="s">
        <v>112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</row>
    <row r="39" spans="1:18" ht="16.5" customHeight="1" x14ac:dyDescent="0.3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</row>
    <row r="40" spans="1:18" x14ac:dyDescent="0.3">
      <c r="A40" s="56" t="s">
        <v>122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  <row r="41" spans="1:18" x14ac:dyDescent="0.3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</row>
  </sheetData>
  <mergeCells count="113">
    <mergeCell ref="A1:R3"/>
    <mergeCell ref="A4:R4"/>
    <mergeCell ref="A5:B6"/>
    <mergeCell ref="C5:C6"/>
    <mergeCell ref="D5:D6"/>
    <mergeCell ref="E5:E6"/>
    <mergeCell ref="F5:K6"/>
    <mergeCell ref="L5:L6"/>
    <mergeCell ref="M5:P6"/>
    <mergeCell ref="Q5:R6"/>
    <mergeCell ref="K9:M9"/>
    <mergeCell ref="A10:C10"/>
    <mergeCell ref="D10:F10"/>
    <mergeCell ref="H10:J10"/>
    <mergeCell ref="K10:M10"/>
    <mergeCell ref="O10:R10"/>
    <mergeCell ref="A7:R7"/>
    <mergeCell ref="A8:C8"/>
    <mergeCell ref="D8:F8"/>
    <mergeCell ref="H8:J8"/>
    <mergeCell ref="K8:M8"/>
    <mergeCell ref="N8:N29"/>
    <mergeCell ref="O8:R9"/>
    <mergeCell ref="A9:C9"/>
    <mergeCell ref="D9:F9"/>
    <mergeCell ref="H9:J9"/>
    <mergeCell ref="A11:C11"/>
    <mergeCell ref="D11:F11"/>
    <mergeCell ref="H11:J11"/>
    <mergeCell ref="K11:M11"/>
    <mergeCell ref="O11:R11"/>
    <mergeCell ref="A12:C12"/>
    <mergeCell ref="D12:F12"/>
    <mergeCell ref="H12:J12"/>
    <mergeCell ref="K12:M12"/>
    <mergeCell ref="O12:R13"/>
    <mergeCell ref="O14:R14"/>
    <mergeCell ref="A15:C15"/>
    <mergeCell ref="D15:F15"/>
    <mergeCell ref="H15:J15"/>
    <mergeCell ref="K15:M15"/>
    <mergeCell ref="O15:R15"/>
    <mergeCell ref="A13:C13"/>
    <mergeCell ref="D13:F13"/>
    <mergeCell ref="H13:J13"/>
    <mergeCell ref="K13:M13"/>
    <mergeCell ref="A14:C14"/>
    <mergeCell ref="D14:F14"/>
    <mergeCell ref="H14:J14"/>
    <mergeCell ref="K14:M14"/>
    <mergeCell ref="A16:C16"/>
    <mergeCell ref="D16:F16"/>
    <mergeCell ref="H16:J16"/>
    <mergeCell ref="K16:M16"/>
    <mergeCell ref="O16:R17"/>
    <mergeCell ref="A17:C17"/>
    <mergeCell ref="D17:F17"/>
    <mergeCell ref="H17:J17"/>
    <mergeCell ref="K17:M17"/>
    <mergeCell ref="A18:C18"/>
    <mergeCell ref="D18:F18"/>
    <mergeCell ref="H18:J18"/>
    <mergeCell ref="K18:M18"/>
    <mergeCell ref="O18:R18"/>
    <mergeCell ref="A19:C19"/>
    <mergeCell ref="D19:F19"/>
    <mergeCell ref="H19:J19"/>
    <mergeCell ref="K19:M19"/>
    <mergeCell ref="O19:R19"/>
    <mergeCell ref="A20:C20"/>
    <mergeCell ref="D20:F20"/>
    <mergeCell ref="H20:J20"/>
    <mergeCell ref="K20:M20"/>
    <mergeCell ref="O20:R21"/>
    <mergeCell ref="A21:C21"/>
    <mergeCell ref="D21:F21"/>
    <mergeCell ref="H21:J21"/>
    <mergeCell ref="K21:M21"/>
    <mergeCell ref="A22:C22"/>
    <mergeCell ref="D22:F22"/>
    <mergeCell ref="H22:J22"/>
    <mergeCell ref="K22:M22"/>
    <mergeCell ref="O22:R22"/>
    <mergeCell ref="A23:C23"/>
    <mergeCell ref="D23:F23"/>
    <mergeCell ref="H23:J23"/>
    <mergeCell ref="K23:M23"/>
    <mergeCell ref="O23:R23"/>
    <mergeCell ref="A24:C24"/>
    <mergeCell ref="D24:F24"/>
    <mergeCell ref="H24:J24"/>
    <mergeCell ref="K24:M24"/>
    <mergeCell ref="O24:R25"/>
    <mergeCell ref="A25:C25"/>
    <mergeCell ref="D25:F25"/>
    <mergeCell ref="H25:J25"/>
    <mergeCell ref="K25:M25"/>
    <mergeCell ref="A40:R41"/>
    <mergeCell ref="O28:R29"/>
    <mergeCell ref="O30:R30"/>
    <mergeCell ref="A38:R39"/>
    <mergeCell ref="A28:M28"/>
    <mergeCell ref="A29:M30"/>
    <mergeCell ref="A26:C26"/>
    <mergeCell ref="D26:F26"/>
    <mergeCell ref="H26:J26"/>
    <mergeCell ref="K26:M26"/>
    <mergeCell ref="O26:R26"/>
    <mergeCell ref="A27:C27"/>
    <mergeCell ref="E27:F27"/>
    <mergeCell ref="H27:J27"/>
    <mergeCell ref="K27:M27"/>
    <mergeCell ref="O27:R27"/>
  </mergeCells>
  <phoneticPr fontId="1" type="noConversion"/>
  <pageMargins left="0.7" right="0.7" top="0.75" bottom="0.75" header="0.3" footer="0.3"/>
  <pageSetup paperSize="9" orientation="portrait" horizontalDpi="429496729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AA1F-F2F2-40AE-9BED-6E52938E96AA}">
  <sheetPr>
    <tabColor rgb="FF7030A0"/>
  </sheetPr>
  <dimension ref="A1:R41"/>
  <sheetViews>
    <sheetView zoomScaleNormal="100" workbookViewId="0">
      <selection activeCell="A29" sqref="A29:M30"/>
    </sheetView>
  </sheetViews>
  <sheetFormatPr defaultRowHeight="16.5" x14ac:dyDescent="0.3"/>
  <cols>
    <col min="1" max="6" width="4.625" customWidth="1"/>
    <col min="7" max="7" width="1" customWidth="1"/>
    <col min="8" max="23" width="4.625" customWidth="1"/>
  </cols>
  <sheetData>
    <row r="1" spans="1:18" ht="16.5" customHeight="1" x14ac:dyDescent="0.3">
      <c r="A1" s="86" t="s">
        <v>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8"/>
    </row>
    <row r="2" spans="1:18" ht="16.5" customHeight="1" x14ac:dyDescent="0.3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1"/>
    </row>
    <row r="3" spans="1:18" ht="16.5" customHeight="1" thickBot="1" x14ac:dyDescent="0.35">
      <c r="A3" s="92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4"/>
    </row>
    <row r="4" spans="1:18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</row>
    <row r="5" spans="1:18" ht="17.25" customHeight="1" x14ac:dyDescent="0.3">
      <c r="A5" s="96">
        <v>2026</v>
      </c>
      <c r="B5" s="96"/>
      <c r="C5" s="97" t="s">
        <v>60</v>
      </c>
      <c r="D5" s="96">
        <v>7</v>
      </c>
      <c r="E5" s="97" t="s">
        <v>61</v>
      </c>
      <c r="F5" s="96">
        <v>401</v>
      </c>
      <c r="G5" s="96"/>
      <c r="H5" s="96"/>
      <c r="I5" s="96"/>
      <c r="J5" s="96"/>
      <c r="K5" s="96"/>
      <c r="L5" s="97" t="s">
        <v>62</v>
      </c>
      <c r="M5" s="96" t="s">
        <v>79</v>
      </c>
      <c r="N5" s="96"/>
      <c r="O5" s="96"/>
      <c r="P5" s="96"/>
      <c r="Q5" s="98" t="s">
        <v>63</v>
      </c>
      <c r="R5" s="98"/>
    </row>
    <row r="6" spans="1:18" ht="16.5" customHeight="1" x14ac:dyDescent="0.3">
      <c r="A6" s="96"/>
      <c r="B6" s="96"/>
      <c r="C6" s="97"/>
      <c r="D6" s="96"/>
      <c r="E6" s="97"/>
      <c r="F6" s="96"/>
      <c r="G6" s="96"/>
      <c r="H6" s="96"/>
      <c r="I6" s="96"/>
      <c r="J6" s="96"/>
      <c r="K6" s="96"/>
      <c r="L6" s="97"/>
      <c r="M6" s="96"/>
      <c r="N6" s="96"/>
      <c r="O6" s="96"/>
      <c r="P6" s="96"/>
      <c r="Q6" s="98"/>
      <c r="R6" s="98"/>
    </row>
    <row r="7" spans="1:18" ht="17.25" thickBot="1" x14ac:dyDescent="0.35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</row>
    <row r="8" spans="1:18" ht="17.25" x14ac:dyDescent="0.3">
      <c r="A8" s="70" t="s">
        <v>25</v>
      </c>
      <c r="B8" s="70"/>
      <c r="C8" s="70"/>
      <c r="D8" s="71">
        <f>통합비용!C49</f>
        <v>828000</v>
      </c>
      <c r="E8" s="71"/>
      <c r="F8" s="71"/>
      <c r="G8" s="46"/>
      <c r="H8" s="70" t="s">
        <v>78</v>
      </c>
      <c r="I8" s="70"/>
      <c r="J8" s="70"/>
      <c r="K8" s="71">
        <f>통합비용!C16</f>
        <v>0</v>
      </c>
      <c r="L8" s="71"/>
      <c r="M8" s="71"/>
      <c r="N8" s="85"/>
      <c r="O8" s="57" t="s">
        <v>64</v>
      </c>
      <c r="P8" s="58"/>
      <c r="Q8" s="58"/>
      <c r="R8" s="59"/>
    </row>
    <row r="9" spans="1:18" ht="17.25" x14ac:dyDescent="0.3">
      <c r="A9" s="70"/>
      <c r="B9" s="70"/>
      <c r="C9" s="70"/>
      <c r="D9" s="71"/>
      <c r="E9" s="71"/>
      <c r="F9" s="71"/>
      <c r="G9" s="46"/>
      <c r="H9" s="70"/>
      <c r="I9" s="70"/>
      <c r="J9" s="70"/>
      <c r="K9" s="71"/>
      <c r="L9" s="71"/>
      <c r="M9" s="71"/>
      <c r="N9" s="85"/>
      <c r="O9" s="60"/>
      <c r="P9" s="61"/>
      <c r="Q9" s="61"/>
      <c r="R9" s="62"/>
    </row>
    <row r="10" spans="1:18" ht="18" thickBot="1" x14ac:dyDescent="0.35">
      <c r="A10" s="70" t="s">
        <v>69</v>
      </c>
      <c r="B10" s="70"/>
      <c r="C10" s="70"/>
      <c r="D10" s="71">
        <f>D8*10%</f>
        <v>82800</v>
      </c>
      <c r="E10" s="71"/>
      <c r="F10" s="71"/>
      <c r="G10" s="46"/>
      <c r="H10" s="70" t="s">
        <v>82</v>
      </c>
      <c r="I10" s="70"/>
      <c r="J10" s="70"/>
      <c r="K10" s="71">
        <f>통합비용!B16</f>
        <v>0</v>
      </c>
      <c r="L10" s="71"/>
      <c r="M10" s="71"/>
      <c r="N10" s="85"/>
      <c r="O10" s="81">
        <f>SUM(K8,K12,K14,K18,K20,K24,D8,D10,D12,D14,D16,D18,D20,D22,D24,D26,K22)</f>
        <v>1215568.2477740862</v>
      </c>
      <c r="P10" s="82"/>
      <c r="Q10" s="82"/>
      <c r="R10" s="83"/>
    </row>
    <row r="11" spans="1:18" ht="18" thickBot="1" x14ac:dyDescent="0.35">
      <c r="A11" s="70"/>
      <c r="B11" s="70"/>
      <c r="C11" s="70"/>
      <c r="D11" s="71"/>
      <c r="E11" s="71"/>
      <c r="F11" s="71"/>
      <c r="G11" s="46"/>
      <c r="H11" s="70"/>
      <c r="I11" s="70"/>
      <c r="J11" s="70"/>
      <c r="K11" s="71"/>
      <c r="L11" s="71"/>
      <c r="M11" s="71"/>
      <c r="N11" s="85"/>
      <c r="O11" s="61"/>
      <c r="P11" s="61"/>
      <c r="Q11" s="61"/>
      <c r="R11" s="61"/>
    </row>
    <row r="12" spans="1:18" ht="17.25" x14ac:dyDescent="0.3">
      <c r="A12" s="70" t="s">
        <v>70</v>
      </c>
      <c r="B12" s="70"/>
      <c r="C12" s="70"/>
      <c r="D12" s="71">
        <v>0</v>
      </c>
      <c r="E12" s="71"/>
      <c r="F12" s="71"/>
      <c r="G12" s="46"/>
      <c r="H12" s="70" t="s">
        <v>83</v>
      </c>
      <c r="I12" s="70"/>
      <c r="J12" s="70"/>
      <c r="K12" s="71">
        <v>0</v>
      </c>
      <c r="L12" s="71"/>
      <c r="M12" s="71"/>
      <c r="N12" s="85"/>
      <c r="O12" s="57" t="s">
        <v>65</v>
      </c>
      <c r="P12" s="58"/>
      <c r="Q12" s="58"/>
      <c r="R12" s="59"/>
    </row>
    <row r="13" spans="1:18" ht="17.25" x14ac:dyDescent="0.3">
      <c r="A13" s="70"/>
      <c r="B13" s="70"/>
      <c r="C13" s="70"/>
      <c r="D13" s="71"/>
      <c r="E13" s="71"/>
      <c r="F13" s="71"/>
      <c r="G13" s="46"/>
      <c r="H13" s="70"/>
      <c r="I13" s="70"/>
      <c r="J13" s="70"/>
      <c r="K13" s="71"/>
      <c r="L13" s="71"/>
      <c r="M13" s="71"/>
      <c r="N13" s="85"/>
      <c r="O13" s="60"/>
      <c r="P13" s="61"/>
      <c r="Q13" s="61"/>
      <c r="R13" s="62"/>
    </row>
    <row r="14" spans="1:18" ht="18" thickBot="1" x14ac:dyDescent="0.35">
      <c r="A14" s="70" t="s">
        <v>71</v>
      </c>
      <c r="B14" s="70"/>
      <c r="C14" s="70"/>
      <c r="D14" s="71">
        <v>0</v>
      </c>
      <c r="E14" s="71"/>
      <c r="F14" s="71"/>
      <c r="G14" s="46"/>
      <c r="H14" s="70" t="s">
        <v>84</v>
      </c>
      <c r="I14" s="70"/>
      <c r="J14" s="70"/>
      <c r="K14" s="71">
        <f>통합비용!H36</f>
        <v>162358.38</v>
      </c>
      <c r="L14" s="71"/>
      <c r="M14" s="71"/>
      <c r="N14" s="85"/>
      <c r="O14" s="63">
        <v>0</v>
      </c>
      <c r="P14" s="64"/>
      <c r="Q14" s="64"/>
      <c r="R14" s="65"/>
    </row>
    <row r="15" spans="1:18" ht="18" thickBot="1" x14ac:dyDescent="0.35">
      <c r="A15" s="70"/>
      <c r="B15" s="70"/>
      <c r="C15" s="70"/>
      <c r="D15" s="71"/>
      <c r="E15" s="71"/>
      <c r="F15" s="71"/>
      <c r="G15" s="46"/>
      <c r="H15" s="70"/>
      <c r="I15" s="70"/>
      <c r="J15" s="70"/>
      <c r="K15" s="71"/>
      <c r="L15" s="71"/>
      <c r="M15" s="71"/>
      <c r="N15" s="85"/>
      <c r="O15" s="61"/>
      <c r="P15" s="61"/>
      <c r="Q15" s="61"/>
      <c r="R15" s="61"/>
    </row>
    <row r="16" spans="1:18" ht="17.25" x14ac:dyDescent="0.3">
      <c r="A16" s="70" t="s">
        <v>72</v>
      </c>
      <c r="B16" s="70"/>
      <c r="C16" s="70"/>
      <c r="D16" s="71">
        <v>0</v>
      </c>
      <c r="E16" s="71"/>
      <c r="F16" s="71"/>
      <c r="G16" s="46"/>
      <c r="H16" s="70"/>
      <c r="I16" s="70"/>
      <c r="J16" s="70"/>
      <c r="K16" s="71"/>
      <c r="L16" s="71"/>
      <c r="M16" s="71"/>
      <c r="N16" s="85"/>
      <c r="O16" s="57" t="s">
        <v>66</v>
      </c>
      <c r="P16" s="58"/>
      <c r="Q16" s="58"/>
      <c r="R16" s="59"/>
    </row>
    <row r="17" spans="1:18" ht="17.25" x14ac:dyDescent="0.3">
      <c r="A17" s="70"/>
      <c r="B17" s="70"/>
      <c r="C17" s="70"/>
      <c r="D17" s="71"/>
      <c r="E17" s="71"/>
      <c r="F17" s="71"/>
      <c r="G17" s="46"/>
      <c r="H17" s="70"/>
      <c r="I17" s="70"/>
      <c r="J17" s="70"/>
      <c r="K17" s="71"/>
      <c r="L17" s="71"/>
      <c r="M17" s="71"/>
      <c r="N17" s="85"/>
      <c r="O17" s="60"/>
      <c r="P17" s="61"/>
      <c r="Q17" s="61"/>
      <c r="R17" s="62"/>
    </row>
    <row r="18" spans="1:18" ht="18" thickBot="1" x14ac:dyDescent="0.35">
      <c r="A18" s="70" t="s">
        <v>73</v>
      </c>
      <c r="B18" s="70"/>
      <c r="C18" s="70"/>
      <c r="D18" s="71">
        <v>0</v>
      </c>
      <c r="E18" s="71"/>
      <c r="F18" s="71"/>
      <c r="G18" s="46"/>
      <c r="H18" s="70" t="s">
        <v>85</v>
      </c>
      <c r="I18" s="70"/>
      <c r="J18" s="70"/>
      <c r="K18" s="71">
        <v>19600</v>
      </c>
      <c r="L18" s="71"/>
      <c r="M18" s="71"/>
      <c r="N18" s="85"/>
      <c r="O18" s="63">
        <v>0</v>
      </c>
      <c r="P18" s="64"/>
      <c r="Q18" s="64"/>
      <c r="R18" s="65"/>
    </row>
    <row r="19" spans="1:18" ht="18" thickBot="1" x14ac:dyDescent="0.35">
      <c r="A19" s="70"/>
      <c r="B19" s="70"/>
      <c r="C19" s="70"/>
      <c r="D19" s="71"/>
      <c r="E19" s="71"/>
      <c r="F19" s="71"/>
      <c r="G19" s="46"/>
      <c r="H19" s="70"/>
      <c r="I19" s="70"/>
      <c r="J19" s="70"/>
      <c r="K19" s="71"/>
      <c r="L19" s="71"/>
      <c r="M19" s="71"/>
      <c r="N19" s="85"/>
      <c r="O19" s="61"/>
      <c r="P19" s="61"/>
      <c r="Q19" s="61"/>
      <c r="R19" s="61"/>
    </row>
    <row r="20" spans="1:18" ht="17.25" x14ac:dyDescent="0.3">
      <c r="A20" s="70" t="s">
        <v>74</v>
      </c>
      <c r="B20" s="70"/>
      <c r="C20" s="70"/>
      <c r="D20" s="71">
        <v>0</v>
      </c>
      <c r="E20" s="71"/>
      <c r="F20" s="71"/>
      <c r="G20" s="46"/>
      <c r="H20" s="70" t="s">
        <v>125</v>
      </c>
      <c r="I20" s="70"/>
      <c r="J20" s="70"/>
      <c r="K20" s="71">
        <v>0</v>
      </c>
      <c r="L20" s="71"/>
      <c r="M20" s="71"/>
      <c r="N20" s="85"/>
      <c r="O20" s="57" t="s">
        <v>67</v>
      </c>
      <c r="P20" s="58"/>
      <c r="Q20" s="58"/>
      <c r="R20" s="59"/>
    </row>
    <row r="21" spans="1:18" ht="17.25" x14ac:dyDescent="0.3">
      <c r="A21" s="70"/>
      <c r="B21" s="70"/>
      <c r="C21" s="70"/>
      <c r="D21" s="71"/>
      <c r="E21" s="71"/>
      <c r="F21" s="71"/>
      <c r="G21" s="46"/>
      <c r="H21" s="70"/>
      <c r="I21" s="70"/>
      <c r="J21" s="70"/>
      <c r="K21" s="71"/>
      <c r="L21" s="71"/>
      <c r="M21" s="71"/>
      <c r="N21" s="85"/>
      <c r="O21" s="60"/>
      <c r="P21" s="61"/>
      <c r="Q21" s="61"/>
      <c r="R21" s="62"/>
    </row>
    <row r="22" spans="1:18" ht="18" thickBot="1" x14ac:dyDescent="0.35">
      <c r="A22" s="70" t="s">
        <v>75</v>
      </c>
      <c r="B22" s="70"/>
      <c r="C22" s="70"/>
      <c r="D22" s="71">
        <v>0</v>
      </c>
      <c r="E22" s="71"/>
      <c r="F22" s="71"/>
      <c r="G22" s="46"/>
      <c r="H22" s="70" t="s">
        <v>123</v>
      </c>
      <c r="I22" s="70"/>
      <c r="J22" s="70"/>
      <c r="K22" s="71"/>
      <c r="L22" s="71"/>
      <c r="M22" s="71"/>
      <c r="N22" s="85"/>
      <c r="O22" s="75">
        <f>SUM(O10,O14,O18)</f>
        <v>1215568.2477740862</v>
      </c>
      <c r="P22" s="76"/>
      <c r="Q22" s="76"/>
      <c r="R22" s="77"/>
    </row>
    <row r="23" spans="1:18" ht="18" thickBot="1" x14ac:dyDescent="0.35">
      <c r="A23" s="70"/>
      <c r="B23" s="70"/>
      <c r="C23" s="70"/>
      <c r="D23" s="71"/>
      <c r="E23" s="71"/>
      <c r="F23" s="71"/>
      <c r="G23" s="46"/>
      <c r="H23" s="70"/>
      <c r="I23" s="70"/>
      <c r="J23" s="70"/>
      <c r="K23" s="71"/>
      <c r="L23" s="71"/>
      <c r="M23" s="71"/>
      <c r="N23" s="85"/>
      <c r="O23" s="61"/>
      <c r="P23" s="61"/>
      <c r="Q23" s="61"/>
      <c r="R23" s="61"/>
    </row>
    <row r="24" spans="1:18" ht="17.25" x14ac:dyDescent="0.3">
      <c r="A24" s="70" t="s">
        <v>76</v>
      </c>
      <c r="B24" s="70"/>
      <c r="C24" s="70"/>
      <c r="D24" s="71">
        <v>0</v>
      </c>
      <c r="E24" s="71"/>
      <c r="F24" s="71"/>
      <c r="G24" s="46"/>
      <c r="H24" s="70" t="s">
        <v>87</v>
      </c>
      <c r="I24" s="70"/>
      <c r="J24" s="70"/>
      <c r="K24" s="71">
        <v>0</v>
      </c>
      <c r="L24" s="71"/>
      <c r="M24" s="71"/>
      <c r="N24" s="85"/>
      <c r="O24" s="57" t="s">
        <v>88</v>
      </c>
      <c r="P24" s="58"/>
      <c r="Q24" s="58"/>
      <c r="R24" s="59"/>
    </row>
    <row r="25" spans="1:18" ht="17.25" x14ac:dyDescent="0.3">
      <c r="A25" s="70"/>
      <c r="B25" s="70"/>
      <c r="C25" s="70"/>
      <c r="D25" s="71"/>
      <c r="E25" s="71"/>
      <c r="F25" s="71"/>
      <c r="G25" s="46"/>
      <c r="H25" s="70"/>
      <c r="I25" s="70"/>
      <c r="J25" s="70"/>
      <c r="K25" s="71"/>
      <c r="L25" s="71"/>
      <c r="M25" s="71"/>
      <c r="N25" s="85"/>
      <c r="O25" s="60"/>
      <c r="P25" s="61"/>
      <c r="Q25" s="61"/>
      <c r="R25" s="62"/>
    </row>
    <row r="26" spans="1:18" ht="18" thickBot="1" x14ac:dyDescent="0.35">
      <c r="A26" s="70" t="s">
        <v>77</v>
      </c>
      <c r="B26" s="70"/>
      <c r="C26" s="70"/>
      <c r="D26" s="71">
        <f>통합비용!G16</f>
        <v>122809.86777408636</v>
      </c>
      <c r="E26" s="71"/>
      <c r="F26" s="71"/>
      <c r="G26" s="46"/>
      <c r="H26" s="70"/>
      <c r="I26" s="70"/>
      <c r="J26" s="70"/>
      <c r="K26" s="71"/>
      <c r="L26" s="71"/>
      <c r="M26" s="71"/>
      <c r="N26" s="85"/>
      <c r="O26" s="72">
        <v>1.5</v>
      </c>
      <c r="P26" s="73"/>
      <c r="Q26" s="73"/>
      <c r="R26" s="74"/>
    </row>
    <row r="27" spans="1:18" ht="18" thickBot="1" x14ac:dyDescent="0.35">
      <c r="A27" s="70"/>
      <c r="B27" s="70"/>
      <c r="C27" s="70"/>
      <c r="D27" s="47"/>
      <c r="E27" s="71"/>
      <c r="F27" s="71"/>
      <c r="G27" s="46"/>
      <c r="H27" s="70"/>
      <c r="I27" s="70"/>
      <c r="J27" s="70"/>
      <c r="K27" s="70"/>
      <c r="L27" s="70"/>
      <c r="M27" s="70"/>
      <c r="N27" s="85"/>
      <c r="O27" s="61"/>
      <c r="P27" s="61"/>
      <c r="Q27" s="61"/>
      <c r="R27" s="61"/>
    </row>
    <row r="28" spans="1:18" ht="18" thickTop="1" x14ac:dyDescent="0.3">
      <c r="A28" s="67" t="s">
        <v>90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9"/>
      <c r="N28" s="85"/>
      <c r="O28" s="57" t="s">
        <v>89</v>
      </c>
      <c r="P28" s="58"/>
      <c r="Q28" s="58"/>
      <c r="R28" s="59"/>
    </row>
    <row r="29" spans="1:18" ht="16.5" customHeight="1" x14ac:dyDescent="0.3">
      <c r="A29" s="70" t="s">
        <v>137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85"/>
      <c r="O29" s="60"/>
      <c r="P29" s="61"/>
      <c r="Q29" s="61"/>
      <c r="R29" s="62"/>
    </row>
    <row r="30" spans="1:18" ht="18" thickBot="1" x14ac:dyDescent="0.35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O30" s="63">
        <v>0</v>
      </c>
      <c r="P30" s="64"/>
      <c r="Q30" s="64"/>
      <c r="R30" s="65"/>
    </row>
    <row r="33" spans="1:18" x14ac:dyDescent="0.3">
      <c r="M33" t="s">
        <v>113</v>
      </c>
    </row>
    <row r="34" spans="1:18" ht="16.5" customHeight="1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</row>
    <row r="35" spans="1:18" ht="16.5" customHeigh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</row>
    <row r="36" spans="1:18" ht="16.5" customHeight="1" x14ac:dyDescent="0.3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</row>
    <row r="37" spans="1:18" ht="16.5" customHeight="1" x14ac:dyDescent="0.3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</row>
    <row r="38" spans="1:18" ht="16.5" customHeight="1" x14ac:dyDescent="0.3">
      <c r="A38" s="66" t="s">
        <v>112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</row>
    <row r="39" spans="1:18" ht="16.5" customHeight="1" x14ac:dyDescent="0.3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</row>
    <row r="40" spans="1:18" x14ac:dyDescent="0.3">
      <c r="A40" s="56" t="s">
        <v>122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  <row r="41" spans="1:18" x14ac:dyDescent="0.3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</row>
  </sheetData>
  <mergeCells count="113">
    <mergeCell ref="A28:M28"/>
    <mergeCell ref="O28:R29"/>
    <mergeCell ref="A29:M30"/>
    <mergeCell ref="O30:R30"/>
    <mergeCell ref="A38:R39"/>
    <mergeCell ref="A40:R41"/>
    <mergeCell ref="A26:C26"/>
    <mergeCell ref="D26:F26"/>
    <mergeCell ref="H26:J26"/>
    <mergeCell ref="K26:M26"/>
    <mergeCell ref="O26:R26"/>
    <mergeCell ref="A27:C27"/>
    <mergeCell ref="E27:F27"/>
    <mergeCell ref="H27:J27"/>
    <mergeCell ref="K27:M27"/>
    <mergeCell ref="O27:R27"/>
    <mergeCell ref="A24:C24"/>
    <mergeCell ref="D24:F24"/>
    <mergeCell ref="H24:J24"/>
    <mergeCell ref="K24:M24"/>
    <mergeCell ref="O24:R25"/>
    <mergeCell ref="A25:C25"/>
    <mergeCell ref="D25:F25"/>
    <mergeCell ref="H25:J25"/>
    <mergeCell ref="K25:M25"/>
    <mergeCell ref="A22:C22"/>
    <mergeCell ref="D22:F22"/>
    <mergeCell ref="H22:J22"/>
    <mergeCell ref="K22:M22"/>
    <mergeCell ref="O22:R22"/>
    <mergeCell ref="A23:C23"/>
    <mergeCell ref="D23:F23"/>
    <mergeCell ref="H23:J23"/>
    <mergeCell ref="K23:M23"/>
    <mergeCell ref="O23:R23"/>
    <mergeCell ref="A20:C20"/>
    <mergeCell ref="D20:F20"/>
    <mergeCell ref="H20:J20"/>
    <mergeCell ref="K20:M20"/>
    <mergeCell ref="O20:R21"/>
    <mergeCell ref="A21:C21"/>
    <mergeCell ref="D21:F21"/>
    <mergeCell ref="H21:J21"/>
    <mergeCell ref="K21:M21"/>
    <mergeCell ref="A18:C18"/>
    <mergeCell ref="D18:F18"/>
    <mergeCell ref="H18:J18"/>
    <mergeCell ref="K18:M18"/>
    <mergeCell ref="O18:R18"/>
    <mergeCell ref="A19:C19"/>
    <mergeCell ref="D19:F19"/>
    <mergeCell ref="H19:J19"/>
    <mergeCell ref="K19:M19"/>
    <mergeCell ref="O19:R19"/>
    <mergeCell ref="A16:C16"/>
    <mergeCell ref="D16:F16"/>
    <mergeCell ref="H16:J16"/>
    <mergeCell ref="K16:M16"/>
    <mergeCell ref="O16:R17"/>
    <mergeCell ref="A17:C17"/>
    <mergeCell ref="D17:F17"/>
    <mergeCell ref="H17:J17"/>
    <mergeCell ref="K17:M17"/>
    <mergeCell ref="K12:M12"/>
    <mergeCell ref="O12:R13"/>
    <mergeCell ref="O14:R14"/>
    <mergeCell ref="A15:C15"/>
    <mergeCell ref="D15:F15"/>
    <mergeCell ref="H15:J15"/>
    <mergeCell ref="K15:M15"/>
    <mergeCell ref="O15:R15"/>
    <mergeCell ref="A13:C13"/>
    <mergeCell ref="D13:F13"/>
    <mergeCell ref="H13:J13"/>
    <mergeCell ref="K13:M13"/>
    <mergeCell ref="A14:C14"/>
    <mergeCell ref="D14:F14"/>
    <mergeCell ref="H14:J14"/>
    <mergeCell ref="K14:M14"/>
    <mergeCell ref="K9:M9"/>
    <mergeCell ref="A10:C10"/>
    <mergeCell ref="D10:F10"/>
    <mergeCell ref="H10:J10"/>
    <mergeCell ref="K10:M10"/>
    <mergeCell ref="O10:R10"/>
    <mergeCell ref="A7:R7"/>
    <mergeCell ref="A8:C8"/>
    <mergeCell ref="D8:F8"/>
    <mergeCell ref="H8:J8"/>
    <mergeCell ref="K8:M8"/>
    <mergeCell ref="N8:N29"/>
    <mergeCell ref="O8:R9"/>
    <mergeCell ref="A9:C9"/>
    <mergeCell ref="D9:F9"/>
    <mergeCell ref="H9:J9"/>
    <mergeCell ref="A11:C11"/>
    <mergeCell ref="D11:F11"/>
    <mergeCell ref="H11:J11"/>
    <mergeCell ref="K11:M11"/>
    <mergeCell ref="O11:R11"/>
    <mergeCell ref="A12:C12"/>
    <mergeCell ref="D12:F12"/>
    <mergeCell ref="H12:J12"/>
    <mergeCell ref="A1:R3"/>
    <mergeCell ref="A4:R4"/>
    <mergeCell ref="A5:B6"/>
    <mergeCell ref="C5:C6"/>
    <mergeCell ref="D5:D6"/>
    <mergeCell ref="E5:E6"/>
    <mergeCell ref="F5:K6"/>
    <mergeCell ref="L5:L6"/>
    <mergeCell ref="M5:P6"/>
    <mergeCell ref="Q5:R6"/>
  </mergeCells>
  <phoneticPr fontId="1" type="noConversion"/>
  <pageMargins left="0.7" right="0.7" top="0.75" bottom="0.75" header="0.3" footer="0.3"/>
  <pageSetup paperSize="9" orientation="portrait" horizontalDpi="4294967293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F5457-B828-417F-BEEE-63A1C0102C0F}">
  <sheetPr>
    <tabColor rgb="FF0070C0"/>
  </sheetPr>
  <dimension ref="A1:R41"/>
  <sheetViews>
    <sheetView tabSelected="1" zoomScaleNormal="100" workbookViewId="0">
      <selection activeCell="A29" sqref="A29:M30"/>
    </sheetView>
  </sheetViews>
  <sheetFormatPr defaultRowHeight="16.5" x14ac:dyDescent="0.3"/>
  <cols>
    <col min="1" max="6" width="4.625" customWidth="1"/>
    <col min="7" max="7" width="1" customWidth="1"/>
    <col min="8" max="23" width="4.625" customWidth="1"/>
  </cols>
  <sheetData>
    <row r="1" spans="1:18" ht="16.5" customHeight="1" x14ac:dyDescent="0.3">
      <c r="A1" s="86" t="s">
        <v>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8"/>
    </row>
    <row r="2" spans="1:18" ht="16.5" customHeight="1" x14ac:dyDescent="0.3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1"/>
    </row>
    <row r="3" spans="1:18" ht="16.5" customHeight="1" thickBot="1" x14ac:dyDescent="0.35">
      <c r="A3" s="92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4"/>
    </row>
    <row r="4" spans="1:18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</row>
    <row r="5" spans="1:18" ht="17.25" customHeight="1" x14ac:dyDescent="0.3">
      <c r="A5" s="96">
        <v>2026</v>
      </c>
      <c r="B5" s="96"/>
      <c r="C5" s="97" t="s">
        <v>60</v>
      </c>
      <c r="D5" s="96">
        <v>7</v>
      </c>
      <c r="E5" s="97" t="s">
        <v>61</v>
      </c>
      <c r="F5" s="96">
        <v>501</v>
      </c>
      <c r="G5" s="96"/>
      <c r="H5" s="96"/>
      <c r="I5" s="96"/>
      <c r="J5" s="96"/>
      <c r="K5" s="96"/>
      <c r="L5" s="97" t="s">
        <v>62</v>
      </c>
      <c r="M5" s="96" t="s">
        <v>7</v>
      </c>
      <c r="N5" s="96"/>
      <c r="O5" s="96"/>
      <c r="P5" s="96"/>
      <c r="Q5" s="98" t="s">
        <v>63</v>
      </c>
      <c r="R5" s="98"/>
    </row>
    <row r="6" spans="1:18" ht="16.5" customHeight="1" x14ac:dyDescent="0.3">
      <c r="A6" s="96"/>
      <c r="B6" s="96"/>
      <c r="C6" s="97"/>
      <c r="D6" s="96"/>
      <c r="E6" s="97"/>
      <c r="F6" s="96"/>
      <c r="G6" s="96"/>
      <c r="H6" s="96"/>
      <c r="I6" s="96"/>
      <c r="J6" s="96"/>
      <c r="K6" s="96"/>
      <c r="L6" s="97"/>
      <c r="M6" s="96"/>
      <c r="N6" s="96"/>
      <c r="O6" s="96"/>
      <c r="P6" s="96"/>
      <c r="Q6" s="98"/>
      <c r="R6" s="98"/>
    </row>
    <row r="7" spans="1:18" ht="17.25" thickBot="1" x14ac:dyDescent="0.35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</row>
    <row r="8" spans="1:18" ht="17.25" x14ac:dyDescent="0.3">
      <c r="A8" s="70" t="s">
        <v>25</v>
      </c>
      <c r="B8" s="70"/>
      <c r="C8" s="70"/>
      <c r="D8" s="71">
        <f>통합비용!C46</f>
        <v>828000</v>
      </c>
      <c r="E8" s="71"/>
      <c r="F8" s="71"/>
      <c r="G8" s="46"/>
      <c r="H8" s="70" t="s">
        <v>78</v>
      </c>
      <c r="I8" s="70"/>
      <c r="J8" s="70"/>
      <c r="K8" s="71">
        <f>통합비용!C13</f>
        <v>9569.1029900332233</v>
      </c>
      <c r="L8" s="71"/>
      <c r="M8" s="71"/>
      <c r="N8" s="85"/>
      <c r="O8" s="57" t="s">
        <v>64</v>
      </c>
      <c r="P8" s="58"/>
      <c r="Q8" s="58"/>
      <c r="R8" s="59"/>
    </row>
    <row r="9" spans="1:18" ht="17.25" x14ac:dyDescent="0.3">
      <c r="A9" s="70"/>
      <c r="B9" s="70"/>
      <c r="C9" s="70"/>
      <c r="D9" s="71"/>
      <c r="E9" s="71"/>
      <c r="F9" s="71"/>
      <c r="G9" s="46"/>
      <c r="H9" s="70"/>
      <c r="I9" s="70"/>
      <c r="J9" s="70"/>
      <c r="K9" s="71"/>
      <c r="L9" s="71"/>
      <c r="M9" s="71"/>
      <c r="N9" s="85"/>
      <c r="O9" s="60"/>
      <c r="P9" s="61"/>
      <c r="Q9" s="61"/>
      <c r="R9" s="62"/>
    </row>
    <row r="10" spans="1:18" ht="18" thickBot="1" x14ac:dyDescent="0.35">
      <c r="A10" s="70" t="s">
        <v>69</v>
      </c>
      <c r="B10" s="70"/>
      <c r="C10" s="70"/>
      <c r="D10" s="71">
        <f>D8*10%</f>
        <v>82800</v>
      </c>
      <c r="E10" s="71"/>
      <c r="F10" s="71"/>
      <c r="G10" s="46"/>
      <c r="H10" s="70" t="s">
        <v>82</v>
      </c>
      <c r="I10" s="70"/>
      <c r="J10" s="70"/>
      <c r="K10" s="71">
        <f>통합비용!B13</f>
        <v>3</v>
      </c>
      <c r="L10" s="71"/>
      <c r="M10" s="71"/>
      <c r="N10" s="85"/>
      <c r="O10" s="81">
        <f>SUM(K8,K12,K14,K18,K20,K24,D8,D10,D12,D14,D16,D18,D20,D22,D24,D26)</f>
        <v>1225137.3507641195</v>
      </c>
      <c r="P10" s="82"/>
      <c r="Q10" s="82"/>
      <c r="R10" s="83"/>
    </row>
    <row r="11" spans="1:18" ht="18" thickBot="1" x14ac:dyDescent="0.35">
      <c r="A11" s="70"/>
      <c r="B11" s="70"/>
      <c r="C11" s="70"/>
      <c r="D11" s="71"/>
      <c r="E11" s="71"/>
      <c r="F11" s="71"/>
      <c r="G11" s="46"/>
      <c r="H11" s="70"/>
      <c r="I11" s="70"/>
      <c r="J11" s="70"/>
      <c r="K11" s="71"/>
      <c r="L11" s="71"/>
      <c r="M11" s="71"/>
      <c r="N11" s="85"/>
      <c r="O11" s="61"/>
      <c r="P11" s="61"/>
      <c r="Q11" s="61"/>
      <c r="R11" s="61"/>
    </row>
    <row r="12" spans="1:18" ht="17.25" x14ac:dyDescent="0.3">
      <c r="A12" s="70" t="s">
        <v>70</v>
      </c>
      <c r="B12" s="70"/>
      <c r="C12" s="70"/>
      <c r="D12" s="71">
        <v>0</v>
      </c>
      <c r="E12" s="71"/>
      <c r="F12" s="71"/>
      <c r="G12" s="46"/>
      <c r="H12" s="70" t="s">
        <v>83</v>
      </c>
      <c r="I12" s="70"/>
      <c r="J12" s="70"/>
      <c r="K12" s="71">
        <v>0</v>
      </c>
      <c r="L12" s="71"/>
      <c r="M12" s="71"/>
      <c r="N12" s="85"/>
      <c r="O12" s="57" t="s">
        <v>65</v>
      </c>
      <c r="P12" s="58"/>
      <c r="Q12" s="58"/>
      <c r="R12" s="59"/>
    </row>
    <row r="13" spans="1:18" ht="17.25" x14ac:dyDescent="0.3">
      <c r="A13" s="70"/>
      <c r="B13" s="70"/>
      <c r="C13" s="70"/>
      <c r="D13" s="71"/>
      <c r="E13" s="71"/>
      <c r="F13" s="71"/>
      <c r="G13" s="46"/>
      <c r="H13" s="70"/>
      <c r="I13" s="70"/>
      <c r="J13" s="70"/>
      <c r="K13" s="71"/>
      <c r="L13" s="71"/>
      <c r="M13" s="71"/>
      <c r="N13" s="85"/>
      <c r="O13" s="60"/>
      <c r="P13" s="61"/>
      <c r="Q13" s="61"/>
      <c r="R13" s="62"/>
    </row>
    <row r="14" spans="1:18" ht="18" thickBot="1" x14ac:dyDescent="0.35">
      <c r="A14" s="70" t="s">
        <v>71</v>
      </c>
      <c r="B14" s="70"/>
      <c r="C14" s="70"/>
      <c r="D14" s="71">
        <v>0</v>
      </c>
      <c r="E14" s="71"/>
      <c r="F14" s="71"/>
      <c r="G14" s="46"/>
      <c r="H14" s="70" t="s">
        <v>84</v>
      </c>
      <c r="I14" s="70"/>
      <c r="J14" s="70"/>
      <c r="K14" s="71">
        <f>통합비용!H33</f>
        <v>162358.38</v>
      </c>
      <c r="L14" s="71"/>
      <c r="M14" s="71"/>
      <c r="N14" s="85"/>
      <c r="O14" s="78">
        <v>6723770</v>
      </c>
      <c r="P14" s="79"/>
      <c r="Q14" s="79"/>
      <c r="R14" s="80"/>
    </row>
    <row r="15" spans="1:18" ht="18" thickBot="1" x14ac:dyDescent="0.35">
      <c r="A15" s="70"/>
      <c r="B15" s="70"/>
      <c r="C15" s="70"/>
      <c r="D15" s="71"/>
      <c r="E15" s="71"/>
      <c r="F15" s="71"/>
      <c r="G15" s="46"/>
      <c r="H15" s="70"/>
      <c r="I15" s="70"/>
      <c r="J15" s="70"/>
      <c r="K15" s="71"/>
      <c r="L15" s="71"/>
      <c r="M15" s="71"/>
      <c r="N15" s="85"/>
      <c r="O15" s="61"/>
      <c r="P15" s="61"/>
      <c r="Q15" s="61"/>
      <c r="R15" s="61"/>
    </row>
    <row r="16" spans="1:18" ht="17.25" x14ac:dyDescent="0.3">
      <c r="A16" s="70" t="s">
        <v>72</v>
      </c>
      <c r="B16" s="70"/>
      <c r="C16" s="70"/>
      <c r="D16" s="71">
        <v>0</v>
      </c>
      <c r="E16" s="71"/>
      <c r="F16" s="71"/>
      <c r="G16" s="46"/>
      <c r="H16" s="70"/>
      <c r="I16" s="70"/>
      <c r="J16" s="70"/>
      <c r="K16" s="71"/>
      <c r="L16" s="71"/>
      <c r="M16" s="71"/>
      <c r="N16" s="85"/>
      <c r="O16" s="57" t="s">
        <v>66</v>
      </c>
      <c r="P16" s="58"/>
      <c r="Q16" s="58"/>
      <c r="R16" s="59"/>
    </row>
    <row r="17" spans="1:18" ht="17.25" x14ac:dyDescent="0.3">
      <c r="A17" s="70"/>
      <c r="B17" s="70"/>
      <c r="C17" s="70"/>
      <c r="D17" s="71"/>
      <c r="E17" s="71"/>
      <c r="F17" s="71"/>
      <c r="G17" s="46"/>
      <c r="H17" s="70"/>
      <c r="I17" s="70"/>
      <c r="J17" s="70"/>
      <c r="K17" s="71"/>
      <c r="L17" s="71"/>
      <c r="M17" s="71"/>
      <c r="N17" s="85"/>
      <c r="O17" s="60"/>
      <c r="P17" s="61"/>
      <c r="Q17" s="61"/>
      <c r="R17" s="62"/>
    </row>
    <row r="18" spans="1:18" ht="18" thickBot="1" x14ac:dyDescent="0.35">
      <c r="A18" s="70" t="s">
        <v>73</v>
      </c>
      <c r="B18" s="70"/>
      <c r="C18" s="70"/>
      <c r="D18" s="71">
        <v>0</v>
      </c>
      <c r="E18" s="71"/>
      <c r="F18" s="71"/>
      <c r="G18" s="46"/>
      <c r="H18" s="70" t="s">
        <v>85</v>
      </c>
      <c r="I18" s="70"/>
      <c r="J18" s="70"/>
      <c r="K18" s="71">
        <v>19600</v>
      </c>
      <c r="L18" s="71"/>
      <c r="M18" s="71"/>
      <c r="N18" s="85"/>
      <c r="O18" s="78">
        <v>100856</v>
      </c>
      <c r="P18" s="79"/>
      <c r="Q18" s="79"/>
      <c r="R18" s="80"/>
    </row>
    <row r="19" spans="1:18" ht="18" thickBot="1" x14ac:dyDescent="0.35">
      <c r="A19" s="70"/>
      <c r="B19" s="70"/>
      <c r="C19" s="70"/>
      <c r="D19" s="71"/>
      <c r="E19" s="71"/>
      <c r="F19" s="71"/>
      <c r="G19" s="46"/>
      <c r="H19" s="70"/>
      <c r="I19" s="70"/>
      <c r="J19" s="70"/>
      <c r="K19" s="71"/>
      <c r="L19" s="71"/>
      <c r="M19" s="71"/>
      <c r="N19" s="85"/>
      <c r="O19" s="61"/>
      <c r="P19" s="61"/>
      <c r="Q19" s="61"/>
      <c r="R19" s="61"/>
    </row>
    <row r="20" spans="1:18" ht="17.25" x14ac:dyDescent="0.3">
      <c r="A20" s="70" t="s">
        <v>74</v>
      </c>
      <c r="B20" s="70"/>
      <c r="C20" s="70"/>
      <c r="D20" s="71">
        <v>0</v>
      </c>
      <c r="E20" s="71"/>
      <c r="F20" s="71"/>
      <c r="G20" s="46"/>
      <c r="H20" s="70" t="s">
        <v>126</v>
      </c>
      <c r="I20" s="70"/>
      <c r="J20" s="70"/>
      <c r="K20" s="71">
        <v>0</v>
      </c>
      <c r="L20" s="71"/>
      <c r="M20" s="71"/>
      <c r="N20" s="85"/>
      <c r="O20" s="57" t="s">
        <v>67</v>
      </c>
      <c r="P20" s="58"/>
      <c r="Q20" s="58"/>
      <c r="R20" s="59"/>
    </row>
    <row r="21" spans="1:18" ht="17.25" x14ac:dyDescent="0.3">
      <c r="A21" s="70"/>
      <c r="B21" s="70"/>
      <c r="C21" s="70"/>
      <c r="D21" s="71"/>
      <c r="E21" s="71"/>
      <c r="F21" s="71"/>
      <c r="G21" s="46"/>
      <c r="H21" s="70"/>
      <c r="I21" s="70"/>
      <c r="J21" s="70"/>
      <c r="K21" s="71"/>
      <c r="L21" s="71"/>
      <c r="M21" s="71"/>
      <c r="N21" s="85"/>
      <c r="O21" s="60"/>
      <c r="P21" s="61"/>
      <c r="Q21" s="61"/>
      <c r="R21" s="62"/>
    </row>
    <row r="22" spans="1:18" ht="18" thickBot="1" x14ac:dyDescent="0.35">
      <c r="A22" s="70" t="s">
        <v>75</v>
      </c>
      <c r="B22" s="70"/>
      <c r="C22" s="70"/>
      <c r="D22" s="71">
        <v>0</v>
      </c>
      <c r="E22" s="71"/>
      <c r="F22" s="71"/>
      <c r="G22" s="46"/>
      <c r="H22" s="70"/>
      <c r="I22" s="70"/>
      <c r="J22" s="70"/>
      <c r="K22" s="71"/>
      <c r="L22" s="71"/>
      <c r="M22" s="71"/>
      <c r="N22" s="85"/>
      <c r="O22" s="75">
        <f>SUM(O10,O14,O18)</f>
        <v>8049763.35076412</v>
      </c>
      <c r="P22" s="76"/>
      <c r="Q22" s="76"/>
      <c r="R22" s="77"/>
    </row>
    <row r="23" spans="1:18" ht="18" thickBot="1" x14ac:dyDescent="0.35">
      <c r="A23" s="70"/>
      <c r="B23" s="70"/>
      <c r="C23" s="70"/>
      <c r="D23" s="71"/>
      <c r="E23" s="71"/>
      <c r="F23" s="71"/>
      <c r="G23" s="46"/>
      <c r="H23" s="70"/>
      <c r="I23" s="70"/>
      <c r="J23" s="70"/>
      <c r="K23" s="71"/>
      <c r="L23" s="71"/>
      <c r="M23" s="71"/>
      <c r="N23" s="85"/>
      <c r="O23" s="61"/>
      <c r="P23" s="61"/>
      <c r="Q23" s="61"/>
      <c r="R23" s="61"/>
    </row>
    <row r="24" spans="1:18" ht="17.25" x14ac:dyDescent="0.3">
      <c r="A24" s="70" t="s">
        <v>76</v>
      </c>
      <c r="B24" s="70"/>
      <c r="C24" s="70"/>
      <c r="D24" s="71">
        <v>0</v>
      </c>
      <c r="E24" s="71"/>
      <c r="F24" s="71"/>
      <c r="G24" s="46"/>
      <c r="H24" s="70" t="s">
        <v>87</v>
      </c>
      <c r="I24" s="70"/>
      <c r="J24" s="70"/>
      <c r="K24" s="71">
        <v>0</v>
      </c>
      <c r="L24" s="71"/>
      <c r="M24" s="71"/>
      <c r="N24" s="85"/>
      <c r="O24" s="57" t="s">
        <v>88</v>
      </c>
      <c r="P24" s="58"/>
      <c r="Q24" s="58"/>
      <c r="R24" s="59"/>
    </row>
    <row r="25" spans="1:18" ht="17.25" x14ac:dyDescent="0.3">
      <c r="A25" s="70"/>
      <c r="B25" s="70"/>
      <c r="C25" s="70"/>
      <c r="D25" s="71"/>
      <c r="E25" s="71"/>
      <c r="F25" s="71"/>
      <c r="G25" s="46"/>
      <c r="H25" s="70"/>
      <c r="I25" s="70"/>
      <c r="J25" s="70"/>
      <c r="K25" s="71"/>
      <c r="L25" s="71"/>
      <c r="M25" s="71"/>
      <c r="N25" s="85"/>
      <c r="O25" s="60"/>
      <c r="P25" s="61"/>
      <c r="Q25" s="61"/>
      <c r="R25" s="62"/>
    </row>
    <row r="26" spans="1:18" ht="18" thickBot="1" x14ac:dyDescent="0.35">
      <c r="A26" s="70" t="s">
        <v>77</v>
      </c>
      <c r="B26" s="70"/>
      <c r="C26" s="70"/>
      <c r="D26" s="71">
        <f>통합비용!G13</f>
        <v>122809.86777408636</v>
      </c>
      <c r="E26" s="71"/>
      <c r="F26" s="71"/>
      <c r="G26" s="46"/>
      <c r="H26" s="70"/>
      <c r="I26" s="70"/>
      <c r="J26" s="70"/>
      <c r="K26" s="71"/>
      <c r="L26" s="71"/>
      <c r="M26" s="71"/>
      <c r="N26" s="85"/>
      <c r="O26" s="72">
        <v>1.5</v>
      </c>
      <c r="P26" s="73"/>
      <c r="Q26" s="73"/>
      <c r="R26" s="74"/>
    </row>
    <row r="27" spans="1:18" ht="18" thickBot="1" x14ac:dyDescent="0.35">
      <c r="A27" s="70"/>
      <c r="B27" s="70"/>
      <c r="C27" s="70"/>
      <c r="D27" s="47"/>
      <c r="E27" s="71"/>
      <c r="F27" s="71"/>
      <c r="G27" s="46"/>
      <c r="H27" s="70"/>
      <c r="I27" s="70"/>
      <c r="J27" s="70"/>
      <c r="K27" s="70"/>
      <c r="L27" s="70"/>
      <c r="M27" s="70"/>
      <c r="N27" s="85"/>
      <c r="O27" s="61"/>
      <c r="P27" s="61"/>
      <c r="Q27" s="61"/>
      <c r="R27" s="61"/>
    </row>
    <row r="28" spans="1:18" ht="18" thickTop="1" x14ac:dyDescent="0.3">
      <c r="A28" s="67" t="s">
        <v>90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9"/>
      <c r="N28" s="85"/>
      <c r="O28" s="57" t="s">
        <v>89</v>
      </c>
      <c r="P28" s="58"/>
      <c r="Q28" s="58"/>
      <c r="R28" s="59"/>
    </row>
    <row r="29" spans="1:18" x14ac:dyDescent="0.3">
      <c r="A29" s="70" t="s">
        <v>137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85"/>
      <c r="O29" s="60"/>
      <c r="P29" s="61"/>
      <c r="Q29" s="61"/>
      <c r="R29" s="62"/>
    </row>
    <row r="30" spans="1:18" ht="18" thickBot="1" x14ac:dyDescent="0.35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O30" s="63">
        <v>0</v>
      </c>
      <c r="P30" s="64"/>
      <c r="Q30" s="64"/>
      <c r="R30" s="65"/>
    </row>
    <row r="33" spans="1:18" x14ac:dyDescent="0.3">
      <c r="M33" t="s">
        <v>113</v>
      </c>
    </row>
    <row r="34" spans="1:18" ht="16.5" customHeight="1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</row>
    <row r="35" spans="1:18" ht="16.5" customHeigh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</row>
    <row r="36" spans="1:18" ht="16.5" customHeight="1" x14ac:dyDescent="0.3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</row>
    <row r="37" spans="1:18" ht="16.5" customHeight="1" x14ac:dyDescent="0.3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</row>
    <row r="38" spans="1:18" ht="16.5" customHeight="1" x14ac:dyDescent="0.3">
      <c r="A38" s="66" t="s">
        <v>112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</row>
    <row r="39" spans="1:18" ht="16.5" customHeight="1" x14ac:dyDescent="0.3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</row>
    <row r="40" spans="1:18" x14ac:dyDescent="0.3">
      <c r="A40" s="56" t="s">
        <v>122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  <row r="41" spans="1:18" x14ac:dyDescent="0.3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</row>
  </sheetData>
  <mergeCells count="113">
    <mergeCell ref="A1:R3"/>
    <mergeCell ref="A4:R4"/>
    <mergeCell ref="A5:B6"/>
    <mergeCell ref="C5:C6"/>
    <mergeCell ref="D5:D6"/>
    <mergeCell ref="E5:E6"/>
    <mergeCell ref="F5:K6"/>
    <mergeCell ref="L5:L6"/>
    <mergeCell ref="M5:P6"/>
    <mergeCell ref="Q5:R6"/>
    <mergeCell ref="K9:M9"/>
    <mergeCell ref="A10:C10"/>
    <mergeCell ref="D10:F10"/>
    <mergeCell ref="H10:J10"/>
    <mergeCell ref="K10:M10"/>
    <mergeCell ref="O10:R10"/>
    <mergeCell ref="A7:R7"/>
    <mergeCell ref="A8:C8"/>
    <mergeCell ref="D8:F8"/>
    <mergeCell ref="H8:J8"/>
    <mergeCell ref="K8:M8"/>
    <mergeCell ref="N8:N29"/>
    <mergeCell ref="O8:R9"/>
    <mergeCell ref="A9:C9"/>
    <mergeCell ref="D9:F9"/>
    <mergeCell ref="H9:J9"/>
    <mergeCell ref="A11:C11"/>
    <mergeCell ref="D11:F11"/>
    <mergeCell ref="H11:J11"/>
    <mergeCell ref="K11:M11"/>
    <mergeCell ref="O11:R11"/>
    <mergeCell ref="A12:C12"/>
    <mergeCell ref="D12:F12"/>
    <mergeCell ref="H12:J12"/>
    <mergeCell ref="K12:M12"/>
    <mergeCell ref="O12:R13"/>
    <mergeCell ref="O14:R14"/>
    <mergeCell ref="A15:C15"/>
    <mergeCell ref="D15:F15"/>
    <mergeCell ref="H15:J15"/>
    <mergeCell ref="K15:M15"/>
    <mergeCell ref="O15:R15"/>
    <mergeCell ref="A13:C13"/>
    <mergeCell ref="D13:F13"/>
    <mergeCell ref="H13:J13"/>
    <mergeCell ref="K13:M13"/>
    <mergeCell ref="A14:C14"/>
    <mergeCell ref="D14:F14"/>
    <mergeCell ref="H14:J14"/>
    <mergeCell ref="K14:M14"/>
    <mergeCell ref="A16:C16"/>
    <mergeCell ref="D16:F16"/>
    <mergeCell ref="H16:J16"/>
    <mergeCell ref="K16:M16"/>
    <mergeCell ref="O16:R17"/>
    <mergeCell ref="A17:C17"/>
    <mergeCell ref="D17:F17"/>
    <mergeCell ref="H17:J17"/>
    <mergeCell ref="K17:M17"/>
    <mergeCell ref="A18:C18"/>
    <mergeCell ref="D18:F18"/>
    <mergeCell ref="H18:J18"/>
    <mergeCell ref="K18:M18"/>
    <mergeCell ref="O18:R18"/>
    <mergeCell ref="A19:C19"/>
    <mergeCell ref="D19:F19"/>
    <mergeCell ref="H19:J19"/>
    <mergeCell ref="K19:M19"/>
    <mergeCell ref="O19:R19"/>
    <mergeCell ref="A20:C20"/>
    <mergeCell ref="D20:F20"/>
    <mergeCell ref="H20:J20"/>
    <mergeCell ref="K20:M20"/>
    <mergeCell ref="O20:R21"/>
    <mergeCell ref="A21:C21"/>
    <mergeCell ref="D21:F21"/>
    <mergeCell ref="H21:J21"/>
    <mergeCell ref="K21:M21"/>
    <mergeCell ref="A22:C22"/>
    <mergeCell ref="D22:F22"/>
    <mergeCell ref="H22:J22"/>
    <mergeCell ref="K22:M22"/>
    <mergeCell ref="O22:R22"/>
    <mergeCell ref="A23:C23"/>
    <mergeCell ref="D23:F23"/>
    <mergeCell ref="H23:J23"/>
    <mergeCell ref="K23:M23"/>
    <mergeCell ref="O23:R23"/>
    <mergeCell ref="A24:C24"/>
    <mergeCell ref="D24:F24"/>
    <mergeCell ref="H24:J24"/>
    <mergeCell ref="K24:M24"/>
    <mergeCell ref="O24:R25"/>
    <mergeCell ref="A25:C25"/>
    <mergeCell ref="D25:F25"/>
    <mergeCell ref="H25:J25"/>
    <mergeCell ref="K25:M25"/>
    <mergeCell ref="A40:R41"/>
    <mergeCell ref="O28:R29"/>
    <mergeCell ref="O30:R30"/>
    <mergeCell ref="A38:R39"/>
    <mergeCell ref="A28:M28"/>
    <mergeCell ref="A29:M30"/>
    <mergeCell ref="A26:C26"/>
    <mergeCell ref="D26:F26"/>
    <mergeCell ref="H26:J26"/>
    <mergeCell ref="K26:M26"/>
    <mergeCell ref="O26:R26"/>
    <mergeCell ref="A27:C27"/>
    <mergeCell ref="E27:F27"/>
    <mergeCell ref="H27:J27"/>
    <mergeCell ref="K27:M27"/>
    <mergeCell ref="O27:R27"/>
  </mergeCells>
  <phoneticPr fontId="1" type="noConversion"/>
  <pageMargins left="0.7" right="0.7" top="0.75" bottom="0.75" header="0.3" footer="0.3"/>
  <pageSetup paperSize="9" orientation="portrait" horizontalDpi="4294967293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F584-C352-4A21-A3C2-883CB26E6E71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</vt:i4>
      </vt:variant>
    </vt:vector>
  </HeadingPairs>
  <TitlesOfParts>
    <vt:vector size="15" baseType="lpstr">
      <vt:lpstr>일반 관리비</vt:lpstr>
      <vt:lpstr>수도비용</vt:lpstr>
      <vt:lpstr>전기비용</vt:lpstr>
      <vt:lpstr>통합비용</vt:lpstr>
      <vt:lpstr>에바돈카츠</vt:lpstr>
      <vt:lpstr>코브라독스</vt:lpstr>
      <vt:lpstr>아기고래</vt:lpstr>
      <vt:lpstr>원유로</vt:lpstr>
      <vt:lpstr>와플칸</vt:lpstr>
      <vt:lpstr>명성화로2F</vt:lpstr>
      <vt:lpstr>카카오 스크린3F</vt:lpstr>
      <vt:lpstr>영종스크린 4F</vt:lpstr>
      <vt:lpstr>드림스터디</vt:lpstr>
      <vt:lpstr>Sheet1</vt:lpstr>
      <vt:lpstr>통합비용!Print_Area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호성 채</cp:lastModifiedBy>
  <cp:lastPrinted>2026-02-20T03:37:39Z</cp:lastPrinted>
  <dcterms:created xsi:type="dcterms:W3CDTF">2022-01-21T04:46:26Z</dcterms:created>
  <dcterms:modified xsi:type="dcterms:W3CDTF">2026-07-21T04:34:02Z</dcterms:modified>
</cp:coreProperties>
</file>